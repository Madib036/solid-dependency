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codeName="ThisWorkbook"/>
  <xr:revisionPtr revIDLastSave="0" documentId="13_ncr:1_{9F356A96-746E-4750-8D37-531D0A991B9A}" xr6:coauthVersionLast="47" xr6:coauthVersionMax="47" xr10:uidLastSave="{00000000-0000-0000-0000-000000000000}"/>
  <bookViews>
    <workbookView xWindow="57480" yWindow="1545" windowWidth="29040" windowHeight="15720" tabRatio="876" firstSheet="1" activeTab="1" xr2:uid="{00000000-000D-0000-FFFF-FFFF00000000}"/>
  </bookViews>
  <sheets>
    <sheet name="0. Cover Sheet" sheetId="30" r:id="rId1"/>
    <sheet name="1. TOC &amp; Instructions" sheetId="31" r:id="rId2"/>
    <sheet name="2. Total Price Summary" sheetId="32" r:id="rId3"/>
    <sheet name="3. Deliverables Costs" sheetId="33" r:id="rId4"/>
    <sheet name="4. License Subscription Costs" sheetId="35" r:id="rId5"/>
    <sheet name="5.  Maint. &amp; Operations Costs" sheetId="39" r:id="rId6"/>
    <sheet name="6. Infrastructure" sheetId="44" r:id="rId7"/>
    <sheet name="7. Optional Services" sheetId="48" r:id="rId8"/>
    <sheet name="8. Rate Sheet" sheetId="49" r:id="rId9"/>
    <sheet name="9. Assumptions" sheetId="42" r:id="rId10"/>
    <sheet name="Sheet3" sheetId="45" state="hidden" r:id="rId11"/>
  </sheets>
  <externalReferences>
    <externalReference r:id="rId12"/>
    <externalReference r:id="rId13"/>
    <externalReference r:id="rId14"/>
    <externalReference r:id="rId15"/>
  </externalReferences>
  <definedNames>
    <definedName name="Base_Texts">'[1] SMS Text Volume Cost'!$D$15</definedName>
    <definedName name="Case_Rows">#REF!</definedName>
    <definedName name="D365_Est_Users">'[2]Dynamics 365'!$D$16</definedName>
    <definedName name="Hosting_Options">#REF!</definedName>
    <definedName name="Legal_Name_of_Respondent">'[3]1 - Total Price Summary'!$B$7</definedName>
    <definedName name="_xlnm.Print_Area" localSheetId="0">'0. Cover Sheet'!$A$1:$G$10</definedName>
    <definedName name="_xlnm.Print_Area" localSheetId="1">'1. TOC &amp; Instructions'!$A$1:$C$33</definedName>
    <definedName name="_xlnm.Print_Area" localSheetId="2">'2. Total Price Summary'!$A$1:$E$19</definedName>
    <definedName name="_xlnm.Print_Area" localSheetId="3">'3. Deliverables Costs'!$A$1:$F$47</definedName>
    <definedName name="_xlnm.Print_Area" localSheetId="4">'4. License Subscription Costs'!$A$1:$G$20</definedName>
    <definedName name="_xlnm.Print_Area" localSheetId="5">'5.  Maint. &amp; Operations Costs'!$A$1:$H$22</definedName>
    <definedName name="_xlnm.Print_Area" localSheetId="6">'6. Infrastructure'!$A$1:$E$35</definedName>
    <definedName name="_xlnm.Print_Area" localSheetId="7">'7. Optional Services'!$A$1:$D$33</definedName>
    <definedName name="_xlnm.Print_Area" localSheetId="8">'8. Rate Sheet'!$A$1:$C$33</definedName>
    <definedName name="_xlnm.Print_Area" localSheetId="9">'9. Assumptions'!$A$1:$G$34</definedName>
    <definedName name="Respondent_Name">'[4]Phase 1 - Transition Services'!#REF!</definedName>
    <definedName name="Sol_Title">'[2]Transition Written Del.&amp; Svcs.'!$C$8</definedName>
    <definedName name="Start_Date">'[3]1 - Total Price Summary'!$B$8</definedName>
    <definedName name="Transition_Period_Months">'[4]Arkansas Transition Cost'!$E$9</definedName>
    <definedName name="YR4ID">'[2]Supplemental Services'!$H$14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33" l="1"/>
  <c r="E16" i="35"/>
  <c r="B14" i="32" s="1"/>
  <c r="B5" i="49"/>
  <c r="B4" i="49"/>
  <c r="B3" i="49"/>
  <c r="B1" i="49"/>
  <c r="B5" i="48" l="1"/>
  <c r="B4" i="48"/>
  <c r="B3" i="48"/>
  <c r="B1" i="48"/>
  <c r="E17" i="35" l="1"/>
  <c r="E18" i="35"/>
  <c r="D14" i="32" s="1"/>
  <c r="E19" i="35"/>
  <c r="E14" i="32" s="1"/>
  <c r="C14" i="32" l="1"/>
  <c r="G18" i="39"/>
  <c r="D15" i="32" s="1"/>
  <c r="D16" i="32" s="1"/>
  <c r="G17" i="39"/>
  <c r="C15" i="32" s="1"/>
  <c r="C16" i="32" s="1"/>
  <c r="G16" i="39"/>
  <c r="B15" i="32" s="1"/>
  <c r="B16" i="32" s="1"/>
  <c r="B5" i="32"/>
  <c r="B4" i="32"/>
  <c r="B3" i="32"/>
  <c r="B3" i="31"/>
  <c r="C5" i="44"/>
  <c r="C4" i="44"/>
  <c r="C3" i="44"/>
  <c r="C1" i="44"/>
  <c r="D5" i="42"/>
  <c r="D4" i="42"/>
  <c r="D3" i="42"/>
  <c r="D1" i="42"/>
  <c r="G19" i="39" l="1"/>
  <c r="B10" i="32"/>
  <c r="B11" i="32" s="1"/>
  <c r="G20" i="39" l="1"/>
  <c r="E15" i="32"/>
  <c r="E16" i="32" s="1"/>
  <c r="B17" i="32" s="1"/>
  <c r="D3" i="35"/>
  <c r="C5" i="39"/>
  <c r="C4" i="39"/>
  <c r="C3" i="39"/>
  <c r="C1" i="39"/>
  <c r="B19" i="32" l="1"/>
  <c r="D5" i="35"/>
  <c r="D4" i="35"/>
  <c r="D1" i="35"/>
  <c r="D5" i="33" l="1"/>
  <c r="D4" i="33"/>
  <c r="D3" i="33"/>
  <c r="D1" i="33"/>
  <c r="B1" i="31" l="1"/>
  <c r="B4" i="31"/>
  <c r="B5" i="31"/>
</calcChain>
</file>

<file path=xl/sharedStrings.xml><?xml version="1.0" encoding="utf-8"?>
<sst xmlns="http://schemas.openxmlformats.org/spreadsheetml/2006/main" count="353" uniqueCount="224">
  <si>
    <t>EXHIBIT J.6 - Cost Workbook</t>
  </si>
  <si>
    <t>Solicitation Number:</t>
  </si>
  <si>
    <t>696-IT-25-O053</t>
  </si>
  <si>
    <t>Solicitation Name/Title:</t>
  </si>
  <si>
    <t>Texas Department of Criminal Justice Corrections Information Technology System 2.0 (CITS 2.0)</t>
  </si>
  <si>
    <t>Respondent Name:</t>
  </si>
  <si>
    <t>Respondent Name</t>
  </si>
  <si>
    <t>Note:</t>
  </si>
  <si>
    <t>All editable cells in this worksheet are highlighted in light yellow.</t>
  </si>
  <si>
    <t>The Department will not be billed separately for travel costs. Price shall incorporate any travel and lodging considerations necessary for the successful completion of the project.</t>
  </si>
  <si>
    <t>Allowable Costs: The Response shall include only costs that are reasonable, necessary, and allowable under State Statutes, Department Policy, and Federal Cost Standards. The Department shall make the final decision on the allowance or acceptability of costs.</t>
  </si>
  <si>
    <t xml:space="preserve">Non-Allowable Costs: The Response shall not include costs that are not allowed by the State or any authorized agency, statute, policy, or procedure. Types of non-allowable costs may include, but are not limited to, alcoholic beverages, bad debts, fundraising, political lobbying, and tobacco products. </t>
  </si>
  <si>
    <t>Worksheet Title/Hyperlink</t>
  </si>
  <si>
    <t>Description</t>
  </si>
  <si>
    <t>Instructions</t>
  </si>
  <si>
    <t>0. Cover Sheet</t>
  </si>
  <si>
    <t>Cover Page</t>
  </si>
  <si>
    <t>Exhibit J.6 Cost Workbook contains a series of separate spreadsheets designed to provide a robust understanding of the costing model. It is essential that this workbook be completed as part of the RFO response. Respondents must enter the name of their organization in cell B9. No other editing will be allowed on this Cover Page.</t>
  </si>
  <si>
    <t>Table of Contents</t>
  </si>
  <si>
    <t>1 Table of Contents (TOC) &amp; Instructions</t>
  </si>
  <si>
    <t>Outlines the description of the Cost Workbook worksheets and its high-level content</t>
  </si>
  <si>
    <t>The worksheets in this Cost Workbook are protected to minimize the risk of compromising the integrity of the workbook structure and formulas. As such, the editable cells within each worksheet are indicated in light yellow highlight as shown in the note below.</t>
  </si>
  <si>
    <t xml:space="preserve">Pricing Summary </t>
  </si>
  <si>
    <t>2. Total Price Summary</t>
  </si>
  <si>
    <t>Summary of four-year recurring pricing and one-time costs for Respondent Deliverables</t>
  </si>
  <si>
    <t>Data in this tab derives from other tabs and requires no input or editing. This tab represents the total costs to the Department for the potential four-year period of performance.</t>
  </si>
  <si>
    <t>Deliverable Costs</t>
  </si>
  <si>
    <t>3. Deliverable Costs</t>
  </si>
  <si>
    <t>Deliverables Costs (e.g., Development &amp; Implementation)</t>
  </si>
  <si>
    <t>This worksheet lists all Deliverables specified in Exhibit J.3, Service Requirements, Tab 3. Respondent Deliverables (also listed in Section C.5.4, Required Deliverables). Respondent must enter fixed pricing for the level of effort required to complete each deliverable. Refer to Section F.1, Period of Performance, for expectations related to the required timeframes, not to exceed four years.</t>
  </si>
  <si>
    <t>Recurring Costs</t>
  </si>
  <si>
    <t>4. License/Subscription Costs</t>
  </si>
  <si>
    <t>Recurring Solution License/Subscription Costs (Monthly)</t>
  </si>
  <si>
    <t>5. Maint. &amp; Operations Costs</t>
  </si>
  <si>
    <t>Recurring Maintenance and Operations (M&amp;O) Support Costs (Monthly)</t>
  </si>
  <si>
    <t>Infrastructure Costs</t>
  </si>
  <si>
    <t>6. Infrastructure</t>
  </si>
  <si>
    <t>Infrastructure requirements to assist the Department in estimating cost to obtain from TX DCS program.</t>
  </si>
  <si>
    <t>Optional Services</t>
  </si>
  <si>
    <t>7. Optional Services</t>
  </si>
  <si>
    <t>Rate Sheet</t>
  </si>
  <si>
    <t>8. Rate Sheet</t>
  </si>
  <si>
    <t>Information on roles and rates for staff that may provide additional professional services beyond contract responsibilities</t>
  </si>
  <si>
    <t>Respondents can specify the roles and rates for staff who may provide additional professional services in the future, beyond the contract responsibilities (e.g., change requests/orders). This Tab is informational only and not part of the cost evaluation.</t>
  </si>
  <si>
    <t>Assumptions</t>
  </si>
  <si>
    <t>9. Assumptions</t>
  </si>
  <si>
    <t>Itemization of all assumptions upon which price is dependent</t>
  </si>
  <si>
    <t xml:space="preserve">Costs of any additional items or services, not specifically delineated in this RFO, must also be reflected in Tab 9. Assumptions of the Cost Workbook. Assumptions used by the Respondent in preparing the Cost Workbook must also be identified and included with the Response. </t>
  </si>
  <si>
    <t>TOC &amp; Instructions</t>
  </si>
  <si>
    <t>Total Price Summary</t>
  </si>
  <si>
    <t>All-Inclusive Deliverable Price ($)</t>
  </si>
  <si>
    <t>Total Deliverable Cost for Contract Term</t>
  </si>
  <si>
    <t>Year 1
(12 Months)</t>
  </si>
  <si>
    <t>Year 2
(12 Months)</t>
  </si>
  <si>
    <t>Year 3
(12 Months)</t>
  </si>
  <si>
    <t>Year 4
(12 Months)</t>
  </si>
  <si>
    <t>License/Subscription Costs</t>
  </si>
  <si>
    <t>Maintenance and Support Costs</t>
  </si>
  <si>
    <t>Total Recurring Costs for Contract Term</t>
  </si>
  <si>
    <t>Total Costs</t>
  </si>
  <si>
    <t>Total Costs for Contract Term</t>
  </si>
  <si>
    <t>INSTRUCTIONS:</t>
  </si>
  <si>
    <r>
      <t xml:space="preserve">Column A (DEL ID) </t>
    </r>
    <r>
      <rPr>
        <sz val="12"/>
        <color rgb="FF000000"/>
        <rFont val="Arial"/>
        <family val="2"/>
      </rPr>
      <t>provides traceability to the related requirement in the Service Requirements (Exhibit J.3).</t>
    </r>
  </si>
  <si>
    <r>
      <t xml:space="preserve">Respondent provides their proposed All-Inclusive Deliverable Price(s) </t>
    </r>
    <r>
      <rPr>
        <sz val="12"/>
        <color rgb="FF000000"/>
        <rFont val="Arial"/>
        <family val="2"/>
      </rPr>
      <t xml:space="preserve">in column F in the "yellow" highlighted cells. </t>
    </r>
    <r>
      <rPr>
        <sz val="12"/>
        <color theme="1"/>
        <rFont val="Arial"/>
        <family val="2"/>
      </rPr>
      <t>Other cells are automatically imported or calculated as appropriate.</t>
    </r>
  </si>
  <si>
    <t xml:space="preserve">Total Period Costs (green cells) are automatically calculated. </t>
  </si>
  <si>
    <t xml:space="preserve">The Respondent's proposed All-Inclusive Unit Price(s) is for the Services as specified in this Solicitation and shall include all labor, materials, tools, supplies, equipment, and personnel, including but not limited to, travel expenses, associated costs and incidental costs necessary to provide the products and Services according to the minimum specifications, requirements, provisions, terms, and conditions set forth in the Solicitation.    </t>
  </si>
  <si>
    <t>DEL ID</t>
  </si>
  <si>
    <t>Deliverable</t>
  </si>
  <si>
    <t>Target Deliverable Submission</t>
  </si>
  <si>
    <t>Service Domain</t>
  </si>
  <si>
    <r>
      <rPr>
        <b/>
        <sz val="12"/>
        <color rgb="FF000000"/>
        <rFont val="Arial"/>
        <family val="2"/>
      </rPr>
      <t xml:space="preserve">Frequency of Delivery
</t>
    </r>
    <r>
      <rPr>
        <sz val="12"/>
        <color rgb="FF000000"/>
        <rFont val="Arial"/>
        <family val="2"/>
      </rPr>
      <t xml:space="preserve">(See </t>
    </r>
    <r>
      <rPr>
        <b/>
        <sz val="12"/>
        <color rgb="FF000000"/>
        <rFont val="Arial"/>
        <family val="2"/>
      </rPr>
      <t>RFO Section C.1.4</t>
    </r>
    <r>
      <rPr>
        <sz val="12"/>
        <color rgb="FF000000"/>
        <rFont val="Arial"/>
        <family val="2"/>
      </rPr>
      <t xml:space="preserve"> for Department Preferred Implementation Approach)</t>
    </r>
  </si>
  <si>
    <t xml:space="preserve">All-Inclusive Unit Price ($)  </t>
  </si>
  <si>
    <t>DEL-1</t>
  </si>
  <si>
    <t>Project Management Plan (PMP)</t>
  </si>
  <si>
    <t xml:space="preserve"> 1. Project and Security Management </t>
  </si>
  <si>
    <t>DEL-2</t>
  </si>
  <si>
    <t>Project Workplan</t>
  </si>
  <si>
    <t>DEL-3</t>
  </si>
  <si>
    <t>Monthly Performance Reports</t>
  </si>
  <si>
    <t>As agreed upon in the approved Project Management Plan (PMP) and approved Project Workplan</t>
  </si>
  <si>
    <t>DEL-4</t>
  </si>
  <si>
    <t>System Security Plan (SSP)</t>
  </si>
  <si>
    <t>As agreed upon in the approved Project Workplan deliverable</t>
  </si>
  <si>
    <t>DEL-5</t>
  </si>
  <si>
    <t>Requirements Validation and Fit/Gap Report</t>
  </si>
  <si>
    <t xml:space="preserve"> 2. Requirements Management</t>
  </si>
  <si>
    <t>DEL-6</t>
  </si>
  <si>
    <t>System Design Document</t>
  </si>
  <si>
    <t xml:space="preserve"> 3. Solution Design and Configuration </t>
  </si>
  <si>
    <t xml:space="preserve">Distinct deliverables for the scope of each Go-Live event. </t>
  </si>
  <si>
    <t>DEL-7</t>
  </si>
  <si>
    <t>Sentence Calculation Design Description</t>
  </si>
  <si>
    <t>DEL-8</t>
  </si>
  <si>
    <t>Configuration Management Plan</t>
  </si>
  <si>
    <t>DEL-9</t>
  </si>
  <si>
    <t>Commercial Software Licenses and Technical Documentation</t>
  </si>
  <si>
    <t>DEL-10</t>
  </si>
  <si>
    <t>Interface Control Documents (ICDs)</t>
  </si>
  <si>
    <t xml:space="preserve"> 4. Integration Services</t>
  </si>
  <si>
    <t>DEL-11</t>
  </si>
  <si>
    <t>Interfaces Implementation Report</t>
  </si>
  <si>
    <t>DEL-12</t>
  </si>
  <si>
    <t>Data Conversion and Migration Plan</t>
  </si>
  <si>
    <t xml:space="preserve"> 5. Data Migration </t>
  </si>
  <si>
    <t>DEL-13</t>
  </si>
  <si>
    <t>Data Migration Completion Report</t>
  </si>
  <si>
    <t>DEL-14</t>
  </si>
  <si>
    <t>Test Management Strategy</t>
  </si>
  <si>
    <t xml:space="preserve"> 6. Solution Testing</t>
  </si>
  <si>
    <t>DEL-15</t>
  </si>
  <si>
    <t>Test Plans (includes one for each test event in scope)</t>
  </si>
  <si>
    <t>DEL-16</t>
  </si>
  <si>
    <t>Test Results Reports (includes one for each test event in scope)</t>
  </si>
  <si>
    <t>At the conclusion of each UAT having met exit/success criteria.</t>
  </si>
  <si>
    <t>DEL-17</t>
  </si>
  <si>
    <t>User Training Plan</t>
  </si>
  <si>
    <t xml:space="preserve"> 7. User Training  </t>
  </si>
  <si>
    <t>DEL-18</t>
  </si>
  <si>
    <t>Training Materials and Curriculum</t>
  </si>
  <si>
    <t>DEL-19</t>
  </si>
  <si>
    <t>Infrastructure Management Plan</t>
  </si>
  <si>
    <t>No later than one month prior to initial Solution implementation</t>
  </si>
  <si>
    <t xml:space="preserve"> 8. Hosting and solution provisioning</t>
  </si>
  <si>
    <t>DEL-20</t>
  </si>
  <si>
    <t>Disaster Recovery Test Reports</t>
  </si>
  <si>
    <t>As agreed to in the approved Project Workplan deliverable.</t>
  </si>
  <si>
    <t>Distinct deliveries for each Disaster Recovery Test</t>
  </si>
  <si>
    <t>DEL-21</t>
  </si>
  <si>
    <t>Infrastructure and Solution Recovery Plan</t>
  </si>
  <si>
    <t>DEL-22a</t>
  </si>
  <si>
    <t>Deployment Plan - DRAFT</t>
  </si>
  <si>
    <t>No later than one month prior to each Solution implementation</t>
  </si>
  <si>
    <t xml:space="preserve"> 9. Cutover/Deployment/Hypercare </t>
  </si>
  <si>
    <t>Distinct deliverables for the scope of each Go-Live event.</t>
  </si>
  <si>
    <t>DEL-22b</t>
  </si>
  <si>
    <t>Deployment Plan - FINAL</t>
  </si>
  <si>
    <t>DEL-23</t>
  </si>
  <si>
    <t>Successful Deployment Report</t>
  </si>
  <si>
    <t>DEL-24</t>
  </si>
  <si>
    <t>Production Support Plan</t>
  </si>
  <si>
    <t>No later than two months prior to initial Solution implementation.</t>
  </si>
  <si>
    <t>10. Maintenance and Operations </t>
  </si>
  <si>
    <t>DEL-25</t>
  </si>
  <si>
    <t>Release Management Plan</t>
  </si>
  <si>
    <t>Within three months after initial Solution implementation</t>
  </si>
  <si>
    <t>DEL-26</t>
  </si>
  <si>
    <t>11. Exit Transition Out/Turnover </t>
  </si>
  <si>
    <t>DEL-27</t>
  </si>
  <si>
    <t>Once</t>
  </si>
  <si>
    <t>DEL-28</t>
  </si>
  <si>
    <t>Final Acceptance Document</t>
  </si>
  <si>
    <t>Prior to Contract expiration.</t>
  </si>
  <si>
    <t>Total Deliverables Costs</t>
  </si>
  <si>
    <t>Respondent provides their proposed All-Inclusive Deliverable Price(s) in column E in the "yellow" highlighted cells. Other cells are automatically imported or calculated as appropriate.</t>
  </si>
  <si>
    <t>Monthly Cost (green cells) are automatically calculated. Green cells under Number of Users are the estimated number of users for that Contract Year.</t>
  </si>
  <si>
    <t>Respondents must populate the months in which license subscription costs apply. Licensing subscription costs are only paid by the Department after the Solution is in production.</t>
  </si>
  <si>
    <t>The Respondent's proposed Per User Per Month Subscription Costs is the all-inclusive rate for Solution License/Subscription Costs. All recurring costs for the Services as specified in this Solicitation must be included in either this tab or Tab 5. Maint. and Operations Costs, and shall include all labor, materials, tools, supplies, equipment, and personnel, including but not limited to, travel expenses, associated costs and incidental costs necessary to provide the products and Services according to the minimum specifications, requirements, provisions, terms, and conditions set forth in the Solicitation. No additional and/or unlisted recurring costs outside of this or Tab 5. Maint. and Operations Costs will be accepted. Any such costs will be incurred by the Respondent.</t>
  </si>
  <si>
    <t>Estimated number of users for the life of the Contract is up to 8,000 concurrent users (20,000 non-concurrent users) as detailed in Section C.3.2.3 - Commercial Software Licensing of the RFO. In the event of any increase of scale of the volume of users through the Contract period, the Respondent will be held to the rates provided in the table above and compensated based on actual number of users per month.</t>
  </si>
  <si>
    <t>Volume Costs</t>
  </si>
  <si>
    <t>Contract Year</t>
  </si>
  <si>
    <t>Quantity 
(# of Months)</t>
  </si>
  <si>
    <t>Number of Users</t>
  </si>
  <si>
    <t>Per User Per Month License Subscription Costs ($)</t>
  </si>
  <si>
    <t>Total Cost ($)</t>
  </si>
  <si>
    <t>Year 1</t>
  </si>
  <si>
    <t>Year 2</t>
  </si>
  <si>
    <t>Year 3</t>
  </si>
  <si>
    <t>Year 4</t>
  </si>
  <si>
    <t>The Maintenance and Support costs must align with the proposed workplan. Refer to RFO Section L.8.4 and Exhibit J.5 - Response Template for more information on the required workplan to be submitted with Responses.</t>
  </si>
  <si>
    <t>Column C 'Quantity (# of Months)' must correspond with the workplan and only apply to the number of months where Maintenance and Support will take effect.</t>
  </si>
  <si>
    <t>Respondent must provide proposed All-Inclusive Service Price(s) in column E in the "yellow" highlighted cells. Other cells are automatically imported or calculated as appropriate.</t>
  </si>
  <si>
    <t>The Respondent's proposed All-Inclusive Service Price(s) is for the Services as specified in this Solicitation. All recurring costs for the Services as specified in this Solicitation must be included in either this tab or Tab 5. Maint. and Operations Costs, and shall include all labor, materials, tools, supplies, equipment, and personnel, including but not limited to, travel expenses, associated costs and incidental costs necessary to provide the products and Services according to the minimum specifications, requirements, provisions, terms, and conditions set forth in the Solicitation. No additional and/or unlisted recurring costs outside of this or Tab 5. Maint. and Operations Costs will be accepted. Any such costs will be incurred by the Respondent.</t>
  </si>
  <si>
    <t>Maintenance and Support</t>
  </si>
  <si>
    <t>Unit of Measurement  (UOM)</t>
  </si>
  <si>
    <t xml:space="preserve">All-Inclusive Service Price ($) </t>
  </si>
  <si>
    <t>Monthly Fee</t>
  </si>
  <si>
    <t>$/Per Month</t>
  </si>
  <si>
    <t>Total Maintenance and Operations Cost:</t>
  </si>
  <si>
    <t xml:space="preserve">List infrastructure requirements and needs to support the Response. Insert as many lines as necessary to ensure all requirements are expressed. </t>
  </si>
  <si>
    <t>Software</t>
  </si>
  <si>
    <t>Hardware</t>
  </si>
  <si>
    <t>Tools</t>
  </si>
  <si>
    <t>CPU Resources</t>
  </si>
  <si>
    <t>Hosting</t>
  </si>
  <si>
    <t>Other Elements</t>
  </si>
  <si>
    <t>#</t>
  </si>
  <si>
    <t>Optional Service</t>
  </si>
  <si>
    <t>Costs ($)</t>
  </si>
  <si>
    <t>This is for Respondents to specify the roles and rates for staff who may provide additional professional services in the future, beyond the contract responsibilities (e.g., change requests/orders). This Tab is informational only and not part of the cost evaluation.</t>
  </si>
  <si>
    <t>Role</t>
  </si>
  <si>
    <t>Hourly Rate ($)
(Applicable to the contract period of performance)</t>
  </si>
  <si>
    <t>List assumptions upon which costs are determined. Only assumptions that impact the pricing should be listed in this Tab. All other assumptions must be listed in the Response (See Exhibit J.5 Response Template) Insert as many lines as necessary to ensure all assumptions are accurately expressed.  Please note that Respondents should submit questions by the specified deadline in order to resolve assumptions.  This tab is for any remaining assumptions that were not resolved.  Refer to RFO Section L.1. for more instructions on submitting questions and how the answers will be published.</t>
  </si>
  <si>
    <t>For Cost Implications, provide an explanation of the cost impacts (e.g., increased cost, decreased cost) and an estimated dollar amount (or range) for the anticipated cost impact.</t>
  </si>
  <si>
    <t>Category</t>
  </si>
  <si>
    <t>Cost Implications</t>
  </si>
  <si>
    <t>Once, and maintained updated throughout Contract Term</t>
  </si>
  <si>
    <t>Monthly, throughout the Contract Term</t>
  </si>
  <si>
    <t>Respondent must provide license/subscription costs per month for the Solution components for the months in which license subscription costs apply. Cost evaluation will be calculated based on current number of users and the listed per-user subscription cost provided by the Respondent.</t>
  </si>
  <si>
    <t>Respondent must provide maintenance and operations (M&amp;O) support costs for the Solution throughout the Contract Term. The worksheet is structured to capture monthly costs by year for ongoing maintenance and support.</t>
  </si>
  <si>
    <t>Respondents shall comprehensively list the infrastructure requirements for DCS infrastructure within the State Data Center for financial review by the Department. If proposing a DCS-hosted Solution, the Department will use the cost estimating tools available within the program to estimate the cost to host the Solution within the DCS program. Refer to RFO Section C.1.7.3 for DCS requirements.</t>
  </si>
  <si>
    <t>Propose services or Solution modules that are beyond what is requested in the RFO</t>
  </si>
  <si>
    <t>Respondents can propose services or Solution modules that are beyond what is requested in the RFO. This Tab is informational only and not part of the cost evaluation.</t>
  </si>
  <si>
    <t>Delivered once for each Go-Live Solution increment and covering all interfaces within the scope of the Solution components to be placed into production.</t>
  </si>
  <si>
    <t>Delivered once for each Go-Live Solution increment and covering all data within the scope of the Solution components to be placed into production.</t>
  </si>
  <si>
    <t xml:space="preserve"> 8. Hosting and Solution provisioning</t>
  </si>
  <si>
    <r>
      <t xml:space="preserve">All Solutions offered in response to this RFO must leverage the Texas DCS (Data Center Services) infrastructure and services.  Refer to RFO </t>
    </r>
    <r>
      <rPr>
        <b/>
        <sz val="12"/>
        <color rgb="FF000000"/>
        <rFont val="Arial"/>
        <family val="2"/>
      </rPr>
      <t>Exhibit J.8, Texas Data Center Services,</t>
    </r>
    <r>
      <rPr>
        <sz val="12"/>
        <color rgb="FF000000"/>
        <rFont val="Arial"/>
        <family val="2"/>
      </rPr>
      <t xml:space="preserve"> for more information. </t>
    </r>
  </si>
  <si>
    <t>This is for Respondents to propose services or Solution modules that are beyond what is requested in the RFO. This Tab is informational only and not part of the cost evaluation.</t>
  </si>
  <si>
    <t>Within 30 Days from the initial production implementation of a Solution component.</t>
  </si>
  <si>
    <t>Within three months of the Service Commencement Date</t>
  </si>
  <si>
    <t>No later than two weeks prior to commencement of this test event.</t>
  </si>
  <si>
    <t>No later than 60 Days prior to scheduled Train-the-Trainer sessions</t>
  </si>
  <si>
    <t>No later than 30 Days prior to scheduled Train-the-Trainer sessions</t>
  </si>
  <si>
    <t>10 Working Days after each Solution deployment and Go-Live event for production use.</t>
  </si>
  <si>
    <t>Respondent MUST provide All-Inclusive Unit Price(s) for a minimum order quantity of one unit. Failure to submit any mandatory requirement with the cost proposal may be grounds for deeming the proposal non-responsive and may disqualify the proposal.</t>
  </si>
  <si>
    <t xml:space="preserve"> 9. Deployment</t>
  </si>
  <si>
    <t>11. Exit Transition </t>
  </si>
  <si>
    <t>60 Working Days prior to Contract expiration, or within 30 Days of notice for early Contract termination</t>
  </si>
  <si>
    <t>Draft Exit Transition Plan</t>
  </si>
  <si>
    <t>Final Exit Transition Plan</t>
  </si>
  <si>
    <t>Within 30 Working Days of the Service Commencement Date</t>
  </si>
  <si>
    <t>Within six months of Service Commencement Date</t>
  </si>
  <si>
    <t>If the Respondent proposes a phased release of CITS (e.g., Custody then Community, or vice versa), the Respondent is required to submit distinct deliverables for each Go-Live Solution increment. EXAMPLE: If Solution is a phased release, then 'DEL-12a Data Conversion and Migration Plan' would be submitted for the first phase Go-Live and 'DEL-12b Data Conversion and Migration Plan' for the next phase.
If the Respondent proposes a phased release, insert an additional line item and rename Column A 'Del ID' with 'a', 'b', 'c', etc., (EXAMPLE: DEL-12a, DEL-12b) to indicate the distinct deliverable post Go-Live.
Refer to RFO Section C.1.4, Department Preferred Implementation Approach, for more information.</t>
  </si>
  <si>
    <r>
      <rPr>
        <sz val="12"/>
        <color rgb="FF000000"/>
        <rFont val="Arial"/>
        <family val="2"/>
      </rPr>
      <t xml:space="preserve">If you are proposing a DCS-hosted Solution, do not provide any costs as the Department will obtain pricing from the DCS program based on the infrastructure and/or computing information provided. Refer to </t>
    </r>
    <r>
      <rPr>
        <b/>
        <sz val="12"/>
        <color rgb="FF000000"/>
        <rFont val="Arial"/>
        <family val="2"/>
      </rPr>
      <t>RFO Section C.1.7.3</t>
    </r>
    <r>
      <rPr>
        <sz val="12"/>
        <color rgb="FF000000"/>
        <rFont val="Arial"/>
        <family val="2"/>
      </rPr>
      <t xml:space="preserve"> for DCS Infrastructure Requirements.</t>
    </r>
  </si>
  <si>
    <t>Total Recurring Costs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</si>
</sst>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4" x14ac:knownFonts="1">
    <font>
      <sz val="10"/>
      <name val="Arial"/>
    </font>
    <font>
      <sz val="12"/>
      <color theme="1"/>
      <name val="Verdana"/>
      <family val="2"/>
    </font>
    <font>
      <sz val="12"/>
      <color theme="1"/>
      <name val="Verdana"/>
      <family val="2"/>
    </font>
    <font>
      <sz val="11"/>
      <color theme="1"/>
      <name val="Calibri"/>
      <family val="2"/>
      <scheme val="minor"/>
    </font>
    <font>
      <sz val="10"/>
      <name val="Arial"/>
      <family val="2"/>
    </font>
    <font>
      <sz val="8"/>
      <name val="Arial"/>
      <family val="2"/>
    </font>
    <font>
      <sz val="10"/>
      <color theme="1"/>
      <name val="Arial"/>
      <family val="2"/>
    </font>
    <font>
      <sz val="12"/>
      <color theme="1"/>
      <name val="Calibri"/>
      <family val="2"/>
      <scheme val="minor"/>
    </font>
    <font>
      <b/>
      <sz val="14"/>
      <color theme="0"/>
      <name val="Calibri"/>
      <family val="2"/>
    </font>
    <font>
      <b/>
      <sz val="18"/>
      <color theme="3"/>
      <name val="Cambria"/>
      <family val="2"/>
      <scheme val="major"/>
    </font>
    <font>
      <sz val="11"/>
      <color theme="1"/>
      <name val="Arial"/>
      <family val="2"/>
    </font>
    <font>
      <b/>
      <sz val="12"/>
      <color theme="1"/>
      <name val="Arial"/>
      <family val="2"/>
    </font>
    <font>
      <sz val="16"/>
      <color theme="1"/>
      <name val="Arial"/>
      <family val="2"/>
    </font>
    <font>
      <u/>
      <sz val="11"/>
      <color theme="10"/>
      <name val="Calibri"/>
      <family val="2"/>
      <scheme val="minor"/>
    </font>
    <font>
      <sz val="8"/>
      <name val="Arial"/>
      <family val="2"/>
    </font>
    <font>
      <u/>
      <sz val="10"/>
      <color theme="10"/>
      <name val="Arial"/>
      <family val="2"/>
    </font>
    <font>
      <u/>
      <sz val="16"/>
      <color theme="10"/>
      <name val="Arial"/>
      <family val="2"/>
    </font>
    <font>
      <b/>
      <sz val="14"/>
      <color rgb="FFFF0000"/>
      <name val="Arial"/>
      <family val="2"/>
    </font>
    <font>
      <b/>
      <sz val="16"/>
      <color theme="1"/>
      <name val="Arial"/>
      <family val="2"/>
    </font>
    <font>
      <b/>
      <sz val="11"/>
      <color theme="1"/>
      <name val="Arial"/>
      <family val="2"/>
    </font>
    <font>
      <b/>
      <sz val="11"/>
      <name val="Arial"/>
      <family val="2"/>
    </font>
    <font>
      <b/>
      <sz val="11"/>
      <color rgb="FFFF0000"/>
      <name val="Arial"/>
      <family val="2"/>
    </font>
    <font>
      <sz val="28"/>
      <color theme="1"/>
      <name val="Arial"/>
      <family val="2"/>
    </font>
    <font>
      <b/>
      <sz val="12"/>
      <color rgb="FF000000"/>
      <name val="Arial"/>
      <family val="2"/>
    </font>
    <font>
      <u/>
      <sz val="11"/>
      <color theme="10"/>
      <name val="Arial"/>
      <family val="2"/>
    </font>
    <font>
      <sz val="11"/>
      <name val="Arial"/>
      <family val="2"/>
    </font>
    <font>
      <sz val="12"/>
      <color theme="1"/>
      <name val="Arial"/>
      <family val="2"/>
    </font>
    <font>
      <b/>
      <sz val="12"/>
      <name val="Arial"/>
      <family val="2"/>
    </font>
    <font>
      <sz val="12"/>
      <name val="Arial"/>
      <family val="2"/>
    </font>
    <font>
      <sz val="12"/>
      <color rgb="FF000000"/>
      <name val="Arial"/>
      <family val="2"/>
    </font>
    <font>
      <sz val="11"/>
      <color rgb="FF000000"/>
      <name val="Arial"/>
      <family val="2"/>
    </font>
    <font>
      <b/>
      <sz val="11"/>
      <color rgb="FF000000"/>
      <name val="Arial"/>
      <family val="2"/>
    </font>
    <font>
      <sz val="12"/>
      <color rgb="FF000000"/>
      <name val="Arial"/>
      <family val="2"/>
    </font>
    <font>
      <b/>
      <sz val="12"/>
      <color rgb="FF000000"/>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6"/>
      </patternFill>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FFFF"/>
        <bgColor rgb="FF000000"/>
      </patternFill>
    </fill>
    <fill>
      <patternFill patternType="solid">
        <fgColor theme="4" tint="0.59999389629810485"/>
        <bgColor indexed="64"/>
      </patternFill>
    </fill>
    <fill>
      <patternFill patternType="solid">
        <fgColor rgb="FFCCFFCC"/>
        <bgColor indexed="64"/>
      </patternFill>
    </fill>
  </fills>
  <borders count="1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s>
  <cellStyleXfs count="15">
    <xf numFmtId="0" fontId="0" fillId="0" borderId="0"/>
    <xf numFmtId="0" fontId="6" fillId="0" borderId="0"/>
    <xf numFmtId="44" fontId="6" fillId="0" borderId="0" applyFont="0" applyFill="0" applyBorder="0" applyAlignment="0" applyProtection="0"/>
    <xf numFmtId="0" fontId="8" fillId="3" borderId="0" applyNumberFormat="0" applyBorder="0" applyProtection="0">
      <alignment vertical="center" wrapText="1"/>
    </xf>
    <xf numFmtId="0" fontId="9" fillId="0" borderId="0" applyNumberFormat="0" applyFill="0" applyBorder="0" applyAlignment="0" applyProtection="0"/>
    <xf numFmtId="0" fontId="3" fillId="0" borderId="0"/>
    <xf numFmtId="0" fontId="4" fillId="0" borderId="0"/>
    <xf numFmtId="0" fontId="13" fillId="0" borderId="0" applyNumberFormat="0" applyFill="0" applyBorder="0" applyAlignment="0" applyProtection="0"/>
    <xf numFmtId="0" fontId="7" fillId="0" borderId="0"/>
    <xf numFmtId="44" fontId="3" fillId="0" borderId="0" applyFont="0" applyFill="0" applyBorder="0" applyAlignment="0" applyProtection="0"/>
    <xf numFmtId="0" fontId="2" fillId="0" borderId="0"/>
    <xf numFmtId="44" fontId="2" fillId="0" borderId="0" applyFont="0" applyFill="0" applyBorder="0" applyAlignment="0" applyProtection="0"/>
    <xf numFmtId="0" fontId="1" fillId="0" borderId="0"/>
    <xf numFmtId="44" fontId="1" fillId="0" borderId="0" applyFont="0" applyFill="0" applyBorder="0" applyAlignment="0" applyProtection="0"/>
    <xf numFmtId="0" fontId="15" fillId="0" borderId="0" applyNumberFormat="0" applyFill="0" applyBorder="0" applyAlignment="0" applyProtection="0"/>
  </cellStyleXfs>
  <cellXfs count="159">
    <xf numFmtId="0" fontId="0" fillId="0" borderId="0" xfId="0"/>
    <xf numFmtId="0" fontId="10" fillId="0" borderId="0" xfId="5" applyFont="1" applyAlignment="1">
      <alignment vertical="center" wrapText="1"/>
    </xf>
    <xf numFmtId="4" fontId="10" fillId="0" borderId="0" xfId="5" applyNumberFormat="1" applyFont="1" applyAlignment="1">
      <alignment vertical="center" wrapText="1"/>
    </xf>
    <xf numFmtId="0" fontId="10" fillId="4" borderId="0" xfId="5" applyFont="1" applyFill="1" applyAlignment="1">
      <alignment vertical="center" wrapText="1"/>
    </xf>
    <xf numFmtId="4" fontId="10" fillId="4" borderId="0" xfId="5" applyNumberFormat="1" applyFont="1" applyFill="1" applyAlignment="1">
      <alignment vertical="center" wrapText="1"/>
    </xf>
    <xf numFmtId="0" fontId="11" fillId="0" borderId="0" xfId="5" applyFont="1" applyAlignment="1">
      <alignment vertical="center" indent="12"/>
    </xf>
    <xf numFmtId="0" fontId="10" fillId="0" borderId="0" xfId="5" applyFont="1"/>
    <xf numFmtId="0" fontId="12" fillId="0" borderId="0" xfId="5" applyFont="1"/>
    <xf numFmtId="0" fontId="4" fillId="0" borderId="2" xfId="0" applyFont="1" applyBorder="1" applyAlignment="1">
      <alignment horizontal="center" vertical="center"/>
    </xf>
    <xf numFmtId="0" fontId="6" fillId="0" borderId="2" xfId="0" applyFont="1" applyBorder="1" applyAlignment="1">
      <alignment vertical="center" wrapText="1"/>
    </xf>
    <xf numFmtId="0" fontId="4" fillId="0" borderId="2" xfId="0" applyFont="1" applyBorder="1" applyAlignment="1">
      <alignment vertical="center" wrapText="1"/>
    </xf>
    <xf numFmtId="0" fontId="6" fillId="0" borderId="0" xfId="0" applyFont="1" applyAlignment="1">
      <alignment horizontal="left" vertical="center" wrapText="1"/>
    </xf>
    <xf numFmtId="0" fontId="6" fillId="0" borderId="2" xfId="0" applyFont="1" applyBorder="1" applyAlignment="1">
      <alignment horizontal="left" vertical="center" wrapText="1"/>
    </xf>
    <xf numFmtId="0" fontId="4" fillId="0" borderId="2" xfId="0" applyFont="1" applyBorder="1" applyAlignment="1">
      <alignment horizontal="left" vertical="center" wrapText="1"/>
    </xf>
    <xf numFmtId="0" fontId="6" fillId="0" borderId="2" xfId="0" applyFont="1" applyBorder="1" applyAlignment="1">
      <alignment horizontal="left" wrapText="1"/>
    </xf>
    <xf numFmtId="0" fontId="16" fillId="0" borderId="0" xfId="14" applyFont="1" applyFill="1"/>
    <xf numFmtId="0" fontId="18" fillId="4" borderId="0" xfId="5" applyFont="1" applyFill="1"/>
    <xf numFmtId="0" fontId="11" fillId="0" borderId="0" xfId="5" applyFont="1" applyAlignment="1">
      <alignment horizontal="left" vertical="center" indent="12"/>
    </xf>
    <xf numFmtId="0" fontId="11" fillId="4" borderId="0" xfId="5" applyFont="1" applyFill="1"/>
    <xf numFmtId="4" fontId="11" fillId="4" borderId="0" xfId="5" applyNumberFormat="1" applyFont="1" applyFill="1"/>
    <xf numFmtId="0" fontId="10" fillId="4" borderId="0" xfId="5" applyFont="1" applyFill="1"/>
    <xf numFmtId="0" fontId="19" fillId="0" borderId="0" xfId="5" applyFont="1" applyAlignment="1">
      <alignment vertical="center" wrapText="1"/>
    </xf>
    <xf numFmtId="0" fontId="20" fillId="4" borderId="0" xfId="5" applyFont="1" applyFill="1" applyAlignment="1">
      <alignment vertical="center"/>
    </xf>
    <xf numFmtId="0" fontId="20" fillId="4" borderId="0" xfId="5" applyFont="1" applyFill="1" applyAlignment="1">
      <alignment horizontal="left" vertical="center"/>
    </xf>
    <xf numFmtId="0" fontId="21" fillId="6" borderId="0" xfId="5" applyFont="1" applyFill="1" applyAlignment="1">
      <alignment vertical="center"/>
    </xf>
    <xf numFmtId="0" fontId="21" fillId="0" borderId="0" xfId="5" applyFont="1" applyAlignment="1">
      <alignment vertical="center"/>
    </xf>
    <xf numFmtId="0" fontId="22" fillId="0" borderId="0" xfId="5" applyFont="1"/>
    <xf numFmtId="0" fontId="11" fillId="0" borderId="0" xfId="5" applyFont="1" applyAlignment="1">
      <alignment vertical="center" wrapText="1"/>
    </xf>
    <xf numFmtId="0" fontId="11" fillId="0" borderId="0" xfId="5" applyFont="1" applyAlignment="1">
      <alignment horizontal="left" vertical="center" wrapText="1"/>
    </xf>
    <xf numFmtId="0" fontId="19" fillId="2" borderId="0" xfId="5" applyFont="1" applyFill="1" applyAlignment="1">
      <alignment vertical="center"/>
    </xf>
    <xf numFmtId="0" fontId="24" fillId="0" borderId="2" xfId="7" applyFont="1" applyBorder="1" applyAlignment="1" applyProtection="1">
      <alignment vertical="center" wrapText="1"/>
    </xf>
    <xf numFmtId="0" fontId="25" fillId="0" borderId="2" xfId="6" applyFont="1" applyBorder="1" applyAlignment="1">
      <alignment horizontal="left" vertical="center" wrapText="1"/>
    </xf>
    <xf numFmtId="0" fontId="25" fillId="0" borderId="2" xfId="5" applyFont="1" applyBorder="1" applyAlignment="1">
      <alignment vertical="center" wrapText="1"/>
    </xf>
    <xf numFmtId="0" fontId="10" fillId="0" borderId="2" xfId="5" applyFont="1" applyBorder="1" applyAlignment="1">
      <alignment vertical="center" wrapText="1"/>
    </xf>
    <xf numFmtId="0" fontId="25" fillId="0" borderId="2" xfId="6" applyFont="1" applyBorder="1" applyAlignment="1">
      <alignment vertical="center" wrapText="1"/>
    </xf>
    <xf numFmtId="0" fontId="19" fillId="6" borderId="2" xfId="8" applyFont="1" applyFill="1" applyBorder="1" applyAlignment="1">
      <alignment vertical="top" wrapText="1"/>
    </xf>
    <xf numFmtId="0" fontId="10" fillId="0" borderId="0" xfId="5" applyFont="1" applyAlignment="1">
      <alignment wrapText="1"/>
    </xf>
    <xf numFmtId="0" fontId="19" fillId="0" borderId="0" xfId="5" applyFont="1" applyAlignment="1">
      <alignment vertical="center"/>
    </xf>
    <xf numFmtId="0" fontId="26" fillId="0" borderId="0" xfId="5" applyFont="1"/>
    <xf numFmtId="0" fontId="28" fillId="0" borderId="2" xfId="0" quotePrefix="1" applyFont="1" applyBorder="1" applyAlignment="1" applyProtection="1">
      <alignment horizontal="center" vertical="center" wrapText="1"/>
      <protection locked="0"/>
    </xf>
    <xf numFmtId="0" fontId="19" fillId="4" borderId="0" xfId="5" applyFont="1" applyFill="1" applyAlignment="1">
      <alignment vertical="center" wrapText="1"/>
    </xf>
    <xf numFmtId="0" fontId="21" fillId="4" borderId="0" xfId="5" applyFont="1" applyFill="1" applyAlignment="1">
      <alignment vertical="center"/>
    </xf>
    <xf numFmtId="0" fontId="21" fillId="0" borderId="0" xfId="5" applyFont="1" applyAlignment="1">
      <alignment horizontal="left" vertical="center"/>
    </xf>
    <xf numFmtId="0" fontId="29" fillId="0" borderId="2" xfId="5" applyFont="1" applyBorder="1" applyAlignment="1">
      <alignment horizontal="center" vertical="center" wrapText="1"/>
    </xf>
    <xf numFmtId="0" fontId="29" fillId="0" borderId="0" xfId="5" applyFont="1" applyAlignment="1">
      <alignment horizontal="center" vertical="center" wrapText="1"/>
    </xf>
    <xf numFmtId="0" fontId="26" fillId="0" borderId="0" xfId="9" applyNumberFormat="1" applyFont="1" applyFill="1" applyBorder="1" applyAlignment="1" applyProtection="1">
      <alignment horizontal="left" vertical="center" wrapText="1"/>
    </xf>
    <xf numFmtId="0" fontId="11" fillId="4" borderId="2" xfId="5" applyFont="1" applyFill="1" applyBorder="1" applyAlignment="1">
      <alignment horizontal="center" vertical="center"/>
    </xf>
    <xf numFmtId="0" fontId="11" fillId="4" borderId="2" xfId="5" applyFont="1" applyFill="1" applyBorder="1" applyAlignment="1">
      <alignment horizontal="center" vertical="center" wrapText="1"/>
    </xf>
    <xf numFmtId="0" fontId="11" fillId="6" borderId="2" xfId="5" applyFont="1" applyFill="1" applyBorder="1" applyAlignment="1">
      <alignment horizontal="center" vertical="center" wrapText="1"/>
    </xf>
    <xf numFmtId="164" fontId="26" fillId="6" borderId="2" xfId="5" applyNumberFormat="1" applyFont="1" applyFill="1" applyBorder="1" applyAlignment="1" applyProtection="1">
      <alignment horizontal="right" vertical="center"/>
      <protection locked="0"/>
    </xf>
    <xf numFmtId="14" fontId="10" fillId="0" borderId="0" xfId="5" applyNumberFormat="1" applyFont="1"/>
    <xf numFmtId="164" fontId="11" fillId="9" borderId="2" xfId="5" applyNumberFormat="1" applyFont="1" applyFill="1" applyBorder="1" applyAlignment="1">
      <alignment horizontal="right" vertical="center"/>
    </xf>
    <xf numFmtId="0" fontId="28" fillId="0" borderId="4" xfId="0" quotePrefix="1" applyFont="1" applyBorder="1" applyAlignment="1" applyProtection="1">
      <alignment horizontal="center" vertical="center" wrapText="1"/>
      <protection locked="0"/>
    </xf>
    <xf numFmtId="0" fontId="11" fillId="0" borderId="0" xfId="5" applyFont="1" applyAlignment="1">
      <alignment vertical="center"/>
    </xf>
    <xf numFmtId="0" fontId="11" fillId="2" borderId="0" xfId="5" applyFont="1" applyFill="1" applyAlignment="1">
      <alignment vertical="center"/>
    </xf>
    <xf numFmtId="0" fontId="21" fillId="2" borderId="0" xfId="5" applyFont="1" applyFill="1" applyAlignment="1">
      <alignment vertical="center"/>
    </xf>
    <xf numFmtId="0" fontId="11" fillId="4" borderId="5" xfId="5" applyFont="1" applyFill="1" applyBorder="1" applyAlignment="1">
      <alignment horizontal="center" vertical="center" wrapText="1"/>
    </xf>
    <xf numFmtId="0" fontId="11" fillId="0" borderId="5" xfId="5" applyFont="1" applyBorder="1" applyAlignment="1">
      <alignment horizontal="center" vertical="center" wrapText="1"/>
    </xf>
    <xf numFmtId="0" fontId="26" fillId="0" borderId="2" xfId="5" applyFont="1" applyBorder="1" applyAlignment="1">
      <alignment horizontal="center" vertical="center"/>
    </xf>
    <xf numFmtId="164" fontId="26" fillId="6" borderId="2" xfId="5" applyNumberFormat="1" applyFont="1" applyFill="1" applyBorder="1" applyAlignment="1">
      <alignment horizontal="right" vertical="center" wrapText="1"/>
    </xf>
    <xf numFmtId="0" fontId="10" fillId="4" borderId="0" xfId="5" applyFont="1" applyFill="1" applyAlignment="1">
      <alignment wrapText="1"/>
    </xf>
    <xf numFmtId="0" fontId="11" fillId="0" borderId="2" xfId="5" applyFont="1" applyBorder="1" applyAlignment="1">
      <alignment horizontal="center" vertical="center" wrapText="1"/>
    </xf>
    <xf numFmtId="0" fontId="26" fillId="0" borderId="2" xfId="5" applyFont="1" applyBorder="1" applyAlignment="1">
      <alignment horizontal="center" vertical="center" wrapText="1"/>
    </xf>
    <xf numFmtId="0" fontId="26" fillId="4" borderId="2" xfId="5" applyFont="1" applyFill="1" applyBorder="1" applyAlignment="1">
      <alignment horizontal="center" vertical="center" wrapText="1"/>
    </xf>
    <xf numFmtId="164" fontId="27" fillId="9" borderId="2" xfId="0" applyNumberFormat="1" applyFont="1" applyFill="1" applyBorder="1" applyAlignment="1">
      <alignment vertical="center" wrapText="1"/>
    </xf>
    <xf numFmtId="0" fontId="20" fillId="0" borderId="0" xfId="5" applyFont="1" applyAlignment="1">
      <alignment horizontal="center" vertical="center"/>
    </xf>
    <xf numFmtId="164" fontId="19" fillId="0" borderId="0" xfId="5" applyNumberFormat="1" applyFont="1" applyAlignment="1">
      <alignment horizontal="center" vertical="center"/>
    </xf>
    <xf numFmtId="0" fontId="30" fillId="0" borderId="0" xfId="5" applyFont="1" applyAlignment="1">
      <alignment horizontal="center" vertical="center" wrapText="1"/>
    </xf>
    <xf numFmtId="0" fontId="10" fillId="0" borderId="0" xfId="9" applyNumberFormat="1" applyFont="1" applyFill="1" applyBorder="1" applyAlignment="1" applyProtection="1">
      <alignment horizontal="left" vertical="center" wrapText="1"/>
    </xf>
    <xf numFmtId="0" fontId="11" fillId="8" borderId="2" xfId="5" applyFont="1" applyFill="1" applyBorder="1" applyAlignment="1">
      <alignment vertical="center" wrapText="1"/>
    </xf>
    <xf numFmtId="0" fontId="11" fillId="0" borderId="2" xfId="5" applyFont="1" applyBorder="1" applyAlignment="1">
      <alignment horizontal="center"/>
    </xf>
    <xf numFmtId="0" fontId="16" fillId="0" borderId="0" xfId="14" applyFont="1" applyFill="1" applyBorder="1"/>
    <xf numFmtId="0" fontId="10" fillId="0" borderId="2" xfId="5" quotePrefix="1" applyFont="1" applyBorder="1" applyAlignment="1">
      <alignment horizontal="center" vertical="center" wrapText="1"/>
    </xf>
    <xf numFmtId="0" fontId="11" fillId="4" borderId="10" xfId="5" applyFont="1" applyFill="1" applyBorder="1" applyAlignment="1">
      <alignment horizontal="center" vertical="center" wrapText="1"/>
    </xf>
    <xf numFmtId="0" fontId="10" fillId="0" borderId="6" xfId="9" applyNumberFormat="1" applyFont="1" applyFill="1" applyBorder="1" applyAlignment="1" applyProtection="1">
      <alignment horizontal="left" vertical="center" wrapText="1"/>
    </xf>
    <xf numFmtId="164" fontId="26" fillId="0" borderId="2" xfId="5" applyNumberFormat="1" applyFont="1" applyBorder="1"/>
    <xf numFmtId="0" fontId="16" fillId="0" borderId="0" xfId="14" applyFont="1" applyFill="1" applyProtection="1"/>
    <xf numFmtId="0" fontId="26" fillId="0" borderId="0" xfId="5" applyFont="1" applyAlignment="1">
      <alignment horizontal="left" indent="2"/>
    </xf>
    <xf numFmtId="0" fontId="11" fillId="5" borderId="4" xfId="5" applyFont="1" applyFill="1" applyBorder="1" applyAlignment="1">
      <alignment horizontal="left" wrapText="1" indent="2"/>
    </xf>
    <xf numFmtId="0" fontId="19" fillId="0" borderId="0" xfId="5" applyFont="1"/>
    <xf numFmtId="0" fontId="27" fillId="5" borderId="10" xfId="5" applyFont="1" applyFill="1" applyBorder="1" applyAlignment="1">
      <alignment vertical="center" wrapText="1"/>
    </xf>
    <xf numFmtId="0" fontId="27" fillId="5" borderId="11" xfId="5" applyFont="1" applyFill="1" applyBorder="1" applyAlignment="1">
      <alignment vertical="center" wrapText="1"/>
    </xf>
    <xf numFmtId="0" fontId="27" fillId="5" borderId="9" xfId="5" applyFont="1" applyFill="1" applyBorder="1" applyAlignment="1">
      <alignment vertical="center" wrapText="1"/>
    </xf>
    <xf numFmtId="0" fontId="26" fillId="0" borderId="2" xfId="5" applyFont="1" applyBorder="1" applyAlignment="1">
      <alignment horizontal="left" indent="2"/>
    </xf>
    <xf numFmtId="0" fontId="11" fillId="5" borderId="2" xfId="5" applyFont="1" applyFill="1" applyBorder="1" applyAlignment="1">
      <alignment horizontal="left" wrapText="1" indent="2"/>
    </xf>
    <xf numFmtId="0" fontId="31" fillId="8" borderId="2" xfId="6" applyFont="1" applyFill="1" applyBorder="1" applyAlignment="1">
      <alignment horizontal="center" vertical="center" wrapText="1"/>
    </xf>
    <xf numFmtId="0" fontId="24" fillId="0" borderId="2" xfId="14" applyFont="1" applyBorder="1" applyAlignment="1" applyProtection="1">
      <alignment vertical="center" wrapText="1"/>
    </xf>
    <xf numFmtId="0" fontId="24" fillId="0" borderId="0" xfId="14" applyFont="1" applyFill="1" applyAlignment="1">
      <alignment vertical="center"/>
    </xf>
    <xf numFmtId="0" fontId="19" fillId="0" borderId="0" xfId="5" applyFont="1" applyAlignment="1">
      <alignment horizontal="left" vertical="center" wrapText="1"/>
    </xf>
    <xf numFmtId="0" fontId="11" fillId="8" borderId="4" xfId="5" applyFont="1" applyFill="1" applyBorder="1" applyAlignment="1">
      <alignment horizontal="center" vertical="center"/>
    </xf>
    <xf numFmtId="0" fontId="11" fillId="8" borderId="2" xfId="5" applyFont="1" applyFill="1" applyBorder="1" applyAlignment="1">
      <alignment horizontal="center" vertical="center" wrapText="1"/>
    </xf>
    <xf numFmtId="0" fontId="11" fillId="0" borderId="2" xfId="0" applyFont="1" applyBorder="1" applyAlignment="1" applyProtection="1">
      <alignment horizontal="center" vertical="center" wrapText="1"/>
      <protection locked="0"/>
    </xf>
    <xf numFmtId="0" fontId="10" fillId="0" borderId="3" xfId="5" applyFont="1" applyBorder="1" applyAlignment="1">
      <alignment horizontal="center" wrapText="1"/>
    </xf>
    <xf numFmtId="0" fontId="11" fillId="8" borderId="3" xfId="5" applyFont="1" applyFill="1" applyBorder="1" applyAlignment="1">
      <alignment horizontal="center" vertical="center" wrapText="1"/>
    </xf>
    <xf numFmtId="0" fontId="33" fillId="4" borderId="2" xfId="5" applyFont="1" applyFill="1" applyBorder="1" applyAlignment="1">
      <alignment horizontal="center" vertical="center" wrapText="1"/>
    </xf>
    <xf numFmtId="0" fontId="17" fillId="0" borderId="0" xfId="5" applyFont="1" applyAlignment="1">
      <alignment horizontal="center" wrapText="1"/>
    </xf>
    <xf numFmtId="0" fontId="10" fillId="6" borderId="2" xfId="8" applyFont="1" applyFill="1" applyBorder="1" applyAlignment="1">
      <alignment horizontal="left" vertical="top" wrapText="1"/>
    </xf>
    <xf numFmtId="0" fontId="10" fillId="4" borderId="4" xfId="5" applyFont="1" applyFill="1" applyBorder="1" applyAlignment="1">
      <alignment horizontal="left" vertical="center" wrapText="1"/>
    </xf>
    <xf numFmtId="0" fontId="10" fillId="4" borderId="3" xfId="5" applyFont="1" applyFill="1" applyBorder="1" applyAlignment="1">
      <alignment horizontal="left" vertical="center" wrapText="1"/>
    </xf>
    <xf numFmtId="3" fontId="20" fillId="8" borderId="2" xfId="7" applyNumberFormat="1" applyFont="1" applyFill="1" applyBorder="1" applyAlignment="1" applyProtection="1">
      <alignment horizontal="left" vertical="center"/>
    </xf>
    <xf numFmtId="0" fontId="19" fillId="0" borderId="0" xfId="5" applyFont="1" applyAlignment="1">
      <alignment horizontal="left" vertical="center" wrapText="1"/>
    </xf>
    <xf numFmtId="0" fontId="19" fillId="2" borderId="0" xfId="5" applyFont="1" applyFill="1" applyAlignment="1">
      <alignment horizontal="left" vertical="center"/>
    </xf>
    <xf numFmtId="0" fontId="27" fillId="8" borderId="10" xfId="5" applyFont="1" applyFill="1" applyBorder="1" applyAlignment="1">
      <alignment horizontal="center" vertical="center"/>
    </xf>
    <xf numFmtId="0" fontId="27" fillId="8" borderId="11" xfId="5" applyFont="1" applyFill="1" applyBorder="1" applyAlignment="1">
      <alignment horizontal="center" vertical="center"/>
    </xf>
    <xf numFmtId="0" fontId="27" fillId="8" borderId="9" xfId="5" applyFont="1" applyFill="1" applyBorder="1" applyAlignment="1">
      <alignment horizontal="center" vertical="center"/>
    </xf>
    <xf numFmtId="0" fontId="27" fillId="8" borderId="7" xfId="5" applyFont="1" applyFill="1" applyBorder="1" applyAlignment="1">
      <alignment horizontal="center" vertical="center"/>
    </xf>
    <xf numFmtId="0" fontId="27" fillId="8" borderId="8" xfId="5" applyFont="1" applyFill="1" applyBorder="1" applyAlignment="1">
      <alignment horizontal="center" vertical="center"/>
    </xf>
    <xf numFmtId="0" fontId="27" fillId="8" borderId="12" xfId="5" applyFont="1" applyFill="1" applyBorder="1" applyAlignment="1">
      <alignment horizontal="center" vertical="center"/>
    </xf>
    <xf numFmtId="164" fontId="11" fillId="5" borderId="2" xfId="5" applyNumberFormat="1" applyFont="1" applyFill="1" applyBorder="1" applyAlignment="1">
      <alignment horizontal="center"/>
    </xf>
    <xf numFmtId="0" fontId="27" fillId="8" borderId="4" xfId="5" applyFont="1" applyFill="1" applyBorder="1" applyAlignment="1">
      <alignment horizontal="center" vertical="center"/>
    </xf>
    <xf numFmtId="0" fontId="27" fillId="8" borderId="1" xfId="5" applyFont="1" applyFill="1" applyBorder="1" applyAlignment="1">
      <alignment horizontal="center" vertical="center"/>
    </xf>
    <xf numFmtId="0" fontId="27" fillId="8" borderId="3" xfId="5" applyFont="1" applyFill="1" applyBorder="1" applyAlignment="1">
      <alignment horizontal="center" vertical="center"/>
    </xf>
    <xf numFmtId="164" fontId="26" fillId="0" borderId="4" xfId="5" applyNumberFormat="1" applyFont="1" applyBorder="1" applyAlignment="1">
      <alignment horizontal="center"/>
    </xf>
    <xf numFmtId="164" fontId="26" fillId="0" borderId="1" xfId="5" applyNumberFormat="1" applyFont="1" applyBorder="1" applyAlignment="1">
      <alignment horizontal="center"/>
    </xf>
    <xf numFmtId="164" fontId="26" fillId="0" borderId="3" xfId="5" applyNumberFormat="1" applyFont="1" applyBorder="1" applyAlignment="1">
      <alignment horizontal="center"/>
    </xf>
    <xf numFmtId="164" fontId="11" fillId="5" borderId="1" xfId="5" applyNumberFormat="1" applyFont="1" applyFill="1" applyBorder="1" applyAlignment="1">
      <alignment horizontal="center"/>
    </xf>
    <xf numFmtId="164" fontId="11" fillId="5" borderId="3" xfId="5" applyNumberFormat="1" applyFont="1" applyFill="1" applyBorder="1" applyAlignment="1">
      <alignment horizontal="center"/>
    </xf>
    <xf numFmtId="0" fontId="11" fillId="8" borderId="4" xfId="5" applyFont="1" applyFill="1" applyBorder="1" applyAlignment="1">
      <alignment horizontal="center" vertical="center"/>
    </xf>
    <xf numFmtId="0" fontId="11" fillId="8" borderId="1" xfId="5" applyFont="1" applyFill="1" applyBorder="1" applyAlignment="1">
      <alignment horizontal="center" vertical="center"/>
    </xf>
    <xf numFmtId="0" fontId="11" fillId="8" borderId="3" xfId="5" applyFont="1" applyFill="1" applyBorder="1" applyAlignment="1">
      <alignment horizontal="center" vertical="center"/>
    </xf>
    <xf numFmtId="0" fontId="23" fillId="7" borderId="0" xfId="5" applyFont="1" applyFill="1" applyAlignment="1">
      <alignment horizontal="left" vertical="top" wrapText="1"/>
    </xf>
    <xf numFmtId="0" fontId="26" fillId="0" borderId="4" xfId="9" applyNumberFormat="1" applyFont="1" applyFill="1" applyBorder="1" applyAlignment="1" applyProtection="1">
      <alignment horizontal="left" vertical="center" wrapText="1"/>
    </xf>
    <xf numFmtId="0" fontId="26" fillId="0" borderId="1" xfId="9" applyNumberFormat="1" applyFont="1" applyFill="1" applyBorder="1" applyAlignment="1" applyProtection="1">
      <alignment horizontal="left" vertical="center" wrapText="1"/>
    </xf>
    <xf numFmtId="0" fontId="26" fillId="0" borderId="3" xfId="9" applyNumberFormat="1" applyFont="1" applyFill="1" applyBorder="1" applyAlignment="1" applyProtection="1">
      <alignment horizontal="left" vertical="center" wrapText="1"/>
    </xf>
    <xf numFmtId="0" fontId="26" fillId="6" borderId="4" xfId="9" applyNumberFormat="1" applyFont="1" applyFill="1" applyBorder="1" applyAlignment="1" applyProtection="1">
      <alignment horizontal="left" vertical="center" wrapText="1"/>
    </xf>
    <xf numFmtId="0" fontId="26" fillId="6" borderId="1" xfId="9" applyNumberFormat="1" applyFont="1" applyFill="1" applyBorder="1" applyAlignment="1" applyProtection="1">
      <alignment horizontal="left" vertical="center" wrapText="1"/>
    </xf>
    <xf numFmtId="0" fontId="26" fillId="6" borderId="3" xfId="9" applyNumberFormat="1" applyFont="1" applyFill="1" applyBorder="1" applyAlignment="1" applyProtection="1">
      <alignment horizontal="left" vertical="center" wrapText="1"/>
    </xf>
    <xf numFmtId="0" fontId="26" fillId="9" borderId="4" xfId="9" applyNumberFormat="1" applyFont="1" applyFill="1" applyBorder="1" applyAlignment="1" applyProtection="1">
      <alignment horizontal="left" vertical="center" wrapText="1"/>
    </xf>
    <xf numFmtId="0" fontId="26" fillId="9" borderId="1" xfId="9" applyNumberFormat="1" applyFont="1" applyFill="1" applyBorder="1" applyAlignment="1" applyProtection="1">
      <alignment horizontal="left" vertical="center" wrapText="1"/>
    </xf>
    <xf numFmtId="0" fontId="26" fillId="9" borderId="3" xfId="9" applyNumberFormat="1" applyFont="1" applyFill="1" applyBorder="1" applyAlignment="1" applyProtection="1">
      <alignment horizontal="left" vertical="center" wrapText="1"/>
    </xf>
    <xf numFmtId="0" fontId="27" fillId="5" borderId="4" xfId="5" applyFont="1" applyFill="1" applyBorder="1" applyAlignment="1">
      <alignment horizontal="right" vertical="center"/>
    </xf>
    <xf numFmtId="0" fontId="27" fillId="5" borderId="1" xfId="5" applyFont="1" applyFill="1" applyBorder="1" applyAlignment="1">
      <alignment horizontal="right" vertical="center"/>
    </xf>
    <xf numFmtId="0" fontId="27" fillId="5" borderId="3" xfId="5" applyFont="1" applyFill="1" applyBorder="1" applyAlignment="1">
      <alignment horizontal="right" vertical="center"/>
    </xf>
    <xf numFmtId="0" fontId="28" fillId="4" borderId="4" xfId="0" applyFont="1" applyFill="1" applyBorder="1" applyAlignment="1" applyProtection="1">
      <alignment horizontal="left" vertical="center" wrapText="1"/>
      <protection locked="0"/>
    </xf>
    <xf numFmtId="0" fontId="28" fillId="4" borderId="1" xfId="0" applyFont="1" applyFill="1" applyBorder="1" applyAlignment="1" applyProtection="1">
      <alignment horizontal="left" vertical="center" wrapText="1"/>
      <protection locked="0"/>
    </xf>
    <xf numFmtId="0" fontId="28" fillId="4" borderId="3" xfId="0" applyFont="1" applyFill="1" applyBorder="1" applyAlignment="1" applyProtection="1">
      <alignment horizontal="left" vertical="center" wrapText="1"/>
      <protection locked="0"/>
    </xf>
    <xf numFmtId="0" fontId="11" fillId="8" borderId="2" xfId="5" applyFont="1" applyFill="1" applyBorder="1" applyAlignment="1">
      <alignment horizontal="center" vertical="center" wrapText="1"/>
    </xf>
    <xf numFmtId="0" fontId="26" fillId="9" borderId="2" xfId="9" applyNumberFormat="1" applyFont="1" applyFill="1" applyBorder="1" applyAlignment="1" applyProtection="1">
      <alignment horizontal="left" vertical="center" wrapText="1"/>
    </xf>
    <xf numFmtId="0" fontId="26" fillId="6" borderId="2" xfId="9" applyNumberFormat="1" applyFont="1" applyFill="1" applyBorder="1" applyAlignment="1" applyProtection="1">
      <alignment horizontal="left" vertical="center" wrapText="1"/>
    </xf>
    <xf numFmtId="0" fontId="26" fillId="0" borderId="2" xfId="9" applyNumberFormat="1" applyFont="1" applyFill="1" applyBorder="1" applyAlignment="1" applyProtection="1">
      <alignment horizontal="left" vertical="center" wrapText="1"/>
    </xf>
    <xf numFmtId="0" fontId="11" fillId="8" borderId="7" xfId="5" applyFont="1" applyFill="1" applyBorder="1" applyAlignment="1">
      <alignment horizontal="center" vertical="center" wrapText="1"/>
    </xf>
    <xf numFmtId="0" fontId="11" fillId="8" borderId="8" xfId="5" applyFont="1" applyFill="1" applyBorder="1" applyAlignment="1">
      <alignment horizontal="center" vertical="center" wrapText="1"/>
    </xf>
    <xf numFmtId="0" fontId="11" fillId="8" borderId="12" xfId="5" applyFont="1" applyFill="1" applyBorder="1" applyAlignment="1">
      <alignment horizontal="center" vertical="center" wrapText="1"/>
    </xf>
    <xf numFmtId="0" fontId="28" fillId="4" borderId="2" xfId="0" applyFont="1" applyFill="1" applyBorder="1" applyAlignment="1" applyProtection="1">
      <alignment horizontal="left" vertical="center" wrapText="1"/>
      <protection locked="0"/>
    </xf>
    <xf numFmtId="0" fontId="27" fillId="5" borderId="2" xfId="5" applyFont="1" applyFill="1" applyBorder="1" applyAlignment="1">
      <alignment horizontal="right" vertical="center"/>
    </xf>
    <xf numFmtId="0" fontId="11" fillId="0" borderId="2" xfId="0" applyFont="1" applyBorder="1" applyAlignment="1" applyProtection="1">
      <alignment horizontal="center" vertical="center" wrapText="1"/>
      <protection locked="0"/>
    </xf>
    <xf numFmtId="0" fontId="10" fillId="0" borderId="4" xfId="5" applyFont="1" applyBorder="1" applyAlignment="1">
      <alignment horizontal="center" wrapText="1"/>
    </xf>
    <xf numFmtId="0" fontId="10" fillId="0" borderId="1" xfId="5" applyFont="1" applyBorder="1" applyAlignment="1">
      <alignment horizontal="center" wrapText="1"/>
    </xf>
    <xf numFmtId="0" fontId="10" fillId="0" borderId="3" xfId="5" applyFont="1" applyBorder="1" applyAlignment="1">
      <alignment horizontal="center" wrapText="1"/>
    </xf>
    <xf numFmtId="0" fontId="10" fillId="0" borderId="2" xfId="5" applyFont="1" applyBorder="1" applyAlignment="1">
      <alignment horizontal="center" wrapText="1"/>
    </xf>
    <xf numFmtId="0" fontId="11" fillId="8" borderId="4" xfId="5" applyFont="1" applyFill="1" applyBorder="1" applyAlignment="1">
      <alignment horizontal="center" vertical="center" wrapText="1"/>
    </xf>
    <xf numFmtId="0" fontId="11" fillId="8" borderId="1" xfId="5" applyFont="1" applyFill="1" applyBorder="1" applyAlignment="1">
      <alignment horizontal="center" vertical="center" wrapText="1"/>
    </xf>
    <xf numFmtId="0" fontId="11" fillId="8" borderId="3" xfId="5" applyFont="1" applyFill="1" applyBorder="1" applyAlignment="1">
      <alignment horizontal="center" vertical="center" wrapText="1"/>
    </xf>
    <xf numFmtId="0" fontId="32" fillId="0" borderId="2" xfId="9" applyNumberFormat="1" applyFont="1" applyFill="1" applyBorder="1" applyAlignment="1" applyProtection="1">
      <alignment horizontal="left" vertical="center" wrapText="1"/>
    </xf>
    <xf numFmtId="0" fontId="29" fillId="0" borderId="2" xfId="9" applyNumberFormat="1" applyFont="1" applyFill="1" applyBorder="1" applyAlignment="1" applyProtection="1">
      <alignment horizontal="left" vertical="center" wrapText="1"/>
    </xf>
    <xf numFmtId="164" fontId="10" fillId="0" borderId="0" xfId="5" applyNumberFormat="1" applyFont="1"/>
    <xf numFmtId="164" fontId="26" fillId="4" borderId="2" xfId="5" applyNumberFormat="1" applyFont="1" applyFill="1" applyBorder="1"/>
    <xf numFmtId="164" fontId="11" fillId="4" borderId="2" xfId="5" applyNumberFormat="1" applyFont="1" applyFill="1" applyBorder="1" applyAlignment="1">
      <alignment horizontal="center"/>
    </xf>
    <xf numFmtId="164" fontId="19" fillId="0" borderId="0" xfId="5" applyNumberFormat="1" applyFont="1"/>
  </cellXfs>
  <cellStyles count="15">
    <cellStyle name="Accent3 2" xfId="3" xr:uid="{00000000-0005-0000-0000-000000000000}"/>
    <cellStyle name="Currency 2" xfId="2" xr:uid="{00000000-0005-0000-0000-000003000000}"/>
    <cellStyle name="Currency 3" xfId="9" xr:uid="{F4CC2A96-C93E-4D61-BE68-8050FB2B2C0E}"/>
    <cellStyle name="Currency 4" xfId="11" xr:uid="{A5705B8B-7460-448B-9B07-2EC5BB0B130C}"/>
    <cellStyle name="Currency 5" xfId="13" xr:uid="{9B62A00D-1532-4A8F-A3FC-88E2E7F2EEB3}"/>
    <cellStyle name="Hyperlink" xfId="14" builtinId="8"/>
    <cellStyle name="Hyperlink 2" xfId="7" xr:uid="{E8742770-9570-4158-B7D7-49945DA4C7E0}"/>
    <cellStyle name="Normal" xfId="0" builtinId="0"/>
    <cellStyle name="Normal 2" xfId="1" xr:uid="{00000000-0005-0000-0000-000006000000}"/>
    <cellStyle name="Normal 2 5 2" xfId="8" xr:uid="{DE216C3C-93AC-49C3-A146-40A1AA696872}"/>
    <cellStyle name="Normal 3" xfId="5" xr:uid="{BFC82B9D-284F-4796-B59A-13D346CB9AE7}"/>
    <cellStyle name="Normal 4" xfId="10" xr:uid="{794EE40F-6F42-41FD-BF76-BFDE92922608}"/>
    <cellStyle name="Normal 5" xfId="12" xr:uid="{74F86846-73DD-48F0-8875-C15E39BA13BE}"/>
    <cellStyle name="Normal_Application Development Pricing Format" xfId="6" xr:uid="{41A52085-EA47-4AC6-B6F9-174E7A7E589C}"/>
    <cellStyle name="Title 2" xfId="4" xr:uid="{00000000-0005-0000-0000-000009000000}"/>
  </cellStyles>
  <dxfs count="1">
    <dxf>
      <fill>
        <patternFill>
          <bgColor theme="0" tint="-0.24994659260841701"/>
        </patternFill>
      </fill>
    </dxf>
  </dxfs>
  <tableStyles count="0" defaultTableStyle="TableStyleMedium9" defaultPivotStyle="PivotStyleLight16"/>
  <colors>
    <mruColors>
      <color rgb="FFCCFFCC"/>
      <color rgb="FFFFFFC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PCS_Procurement_Complex/PCS%20Financial%20Services/RFx/HHS0012972%20WIC%20MIS/Solicitation%20Development/Cost%20Proposal/Exhibit%20O%20-%20HHS12972%20WIC%20Mosaic%20Cost%20Proposal%202023.08.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mcbride01/Downloads/Exhibit%20O%20-%20HHS12972%20WIC%20Mosaic%20Cost%20Proposal%20FINAL%20202309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hazelett01/AppData/Local/Microsoft/Windows/INetCache/Content.Outlook/87W2OK6W/EOR%20Pricing%20Workbook%20Update%20202209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PCS_Procurement_Complex/PCS%20Financial%20Services/RFx/HHS0013393%20WIC%20User%20Community%20EBT/Cost%20Proposal/Exhibit%20G,%20WIC%20User%20Community%20-%20Electronic%20Benefits%20Transfer%20(EBT)%20Cost%20Proposal%2010.17.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Price Summary"/>
      <sheetName val="Transition"/>
      <sheetName val="EBT"/>
      <sheetName val="Operation &amp; Maint."/>
      <sheetName val=" SMS Text Volume Cost"/>
      <sheetName val="Operations DME"/>
      <sheetName val="Turnover Services"/>
      <sheetName val="Volume Cost"/>
      <sheetName val="Colorado Transition Cost"/>
      <sheetName val="Arkansas Transition Cost"/>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Price Summary"/>
      <sheetName val="Transition Written Del.&amp; Svcs."/>
      <sheetName val="Operations &amp; Maint."/>
      <sheetName val="Volume Costs"/>
      <sheetName val="SMS Text"/>
      <sheetName val="Supplemental Services"/>
      <sheetName val="Online EBT"/>
      <sheetName val="Dynamics 365"/>
      <sheetName val="Turnover Services"/>
      <sheetName val="Arkansas Transition Cost"/>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Total Price Summary"/>
      <sheetName val="2 - Transition"/>
      <sheetName val="3 - License Fee &amp; MTS"/>
      <sheetName val="4 - User Fee"/>
    </sheetNames>
    <sheetDataSet>
      <sheetData sheetId="0"/>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Price Summary"/>
      <sheetName val="Phase 1 - Transition Services"/>
      <sheetName val="Phase 2 - Operations Services"/>
      <sheetName val="Volume Costs"/>
      <sheetName val="Phase 3 - Turnover Services"/>
      <sheetName val="Arkansas Transition Cost"/>
    </sheetNames>
    <sheetDataSet>
      <sheetData sheetId="0" refreshError="1"/>
      <sheetData sheetId="1"/>
      <sheetData sheetId="2" refreshError="1"/>
      <sheetData sheetId="3"/>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6D0B-E323-42F5-8083-A56693FBD0E3}">
  <sheetPr>
    <pageSetUpPr fitToPage="1"/>
  </sheetPr>
  <dimension ref="A1:G11"/>
  <sheetViews>
    <sheetView showGridLines="0" zoomScaleNormal="100" workbookViewId="0">
      <selection activeCell="A8" sqref="A8"/>
    </sheetView>
  </sheetViews>
  <sheetFormatPr defaultColWidth="9.1796875" defaultRowHeight="14" x14ac:dyDescent="0.3"/>
  <cols>
    <col min="1" max="1" width="30.54296875" style="6" customWidth="1"/>
    <col min="2" max="2" width="118.81640625" style="6" bestFit="1" customWidth="1"/>
    <col min="3" max="16384" width="9.1796875" style="6"/>
  </cols>
  <sheetData>
    <row r="1" spans="1:7" ht="15" customHeight="1" x14ac:dyDescent="0.4">
      <c r="B1" s="95"/>
      <c r="C1" s="95"/>
      <c r="D1" s="95"/>
      <c r="E1" s="95"/>
      <c r="F1" s="95"/>
      <c r="G1" s="95"/>
    </row>
    <row r="2" spans="1:7" ht="15" customHeight="1" x14ac:dyDescent="0.3">
      <c r="B2" s="1"/>
      <c r="C2" s="2"/>
      <c r="D2" s="1"/>
      <c r="E2" s="1"/>
      <c r="F2" s="1"/>
      <c r="G2" s="1"/>
    </row>
    <row r="3" spans="1:7" ht="15" customHeight="1" x14ac:dyDescent="0.3">
      <c r="B3" s="3"/>
      <c r="C3" s="4"/>
      <c r="D3" s="3"/>
      <c r="E3" s="3"/>
      <c r="F3" s="3"/>
      <c r="G3" s="3"/>
    </row>
    <row r="4" spans="1:7" ht="15" customHeight="1" x14ac:dyDescent="0.3">
      <c r="B4" s="3"/>
      <c r="C4" s="4"/>
      <c r="D4" s="3"/>
      <c r="E4" s="3"/>
      <c r="F4" s="3"/>
      <c r="G4" s="3"/>
    </row>
    <row r="5" spans="1:7" ht="30" customHeight="1" x14ac:dyDescent="0.4">
      <c r="A5" s="5"/>
      <c r="B5" s="16" t="s">
        <v>0</v>
      </c>
      <c r="C5" s="16"/>
      <c r="D5" s="16"/>
      <c r="E5" s="16"/>
      <c r="F5" s="16"/>
      <c r="G5" s="16"/>
    </row>
    <row r="6" spans="1:7" ht="15" customHeight="1" x14ac:dyDescent="0.35">
      <c r="A6" s="17"/>
      <c r="B6" s="18"/>
      <c r="C6" s="19"/>
      <c r="D6" s="18"/>
      <c r="E6" s="18"/>
      <c r="F6" s="18"/>
      <c r="G6" s="20"/>
    </row>
    <row r="7" spans="1:7" ht="15" customHeight="1" x14ac:dyDescent="0.3">
      <c r="A7" s="21" t="s">
        <v>1</v>
      </c>
      <c r="B7" s="21" t="s">
        <v>2</v>
      </c>
      <c r="C7" s="22"/>
    </row>
    <row r="8" spans="1:7" ht="26.25" customHeight="1" x14ac:dyDescent="0.3">
      <c r="A8" s="21" t="s">
        <v>3</v>
      </c>
      <c r="B8" s="21" t="s">
        <v>4</v>
      </c>
      <c r="C8" s="22"/>
      <c r="D8" s="23"/>
      <c r="E8" s="23"/>
    </row>
    <row r="9" spans="1:7" ht="15" customHeight="1" x14ac:dyDescent="0.3">
      <c r="A9" s="21" t="s">
        <v>5</v>
      </c>
      <c r="B9" s="24" t="s">
        <v>6</v>
      </c>
      <c r="D9" s="25"/>
      <c r="E9" s="25"/>
    </row>
    <row r="10" spans="1:7" ht="35" x14ac:dyDescent="0.7">
      <c r="A10" s="26"/>
      <c r="B10" s="26"/>
    </row>
    <row r="11" spans="1:7" ht="20" x14ac:dyDescent="0.4">
      <c r="B11" s="7"/>
    </row>
  </sheetData>
  <mergeCells count="1">
    <mergeCell ref="B1:G1"/>
  </mergeCells>
  <pageMargins left="0.7" right="0.7" top="0.75" bottom="0.75" header="0.3" footer="0.3"/>
  <pageSetup scale="64" fitToHeight="0" orientation="landscape" r:id="rId1"/>
  <headerFooter>
    <oddHeader>&amp;C&amp;A</oddHeader>
    <oddFooter>&amp;C&amp;P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2C7B-C02E-41C9-8C10-AB7E813F7BC9}">
  <sheetPr>
    <pageSetUpPr fitToPage="1"/>
  </sheetPr>
  <dimension ref="A1:G35"/>
  <sheetViews>
    <sheetView showGridLines="0" tabSelected="1" zoomScaleNormal="100" workbookViewId="0">
      <selection activeCell="A22" sqref="A22"/>
    </sheetView>
  </sheetViews>
  <sheetFormatPr defaultColWidth="9.1796875" defaultRowHeight="14" x14ac:dyDescent="0.3"/>
  <cols>
    <col min="1" max="1" width="22.7265625" style="36" customWidth="1"/>
    <col min="2" max="2" width="36.7265625" style="6" customWidth="1"/>
    <col min="3" max="3" width="63.453125" style="36" customWidth="1"/>
    <col min="4" max="4" width="44.7265625" style="6" customWidth="1"/>
    <col min="5" max="16384" width="9.1796875" style="6"/>
  </cols>
  <sheetData>
    <row r="1" spans="1:7" ht="20" x14ac:dyDescent="0.4">
      <c r="A1" s="27"/>
      <c r="B1" s="16" t="str">
        <f>'0. Cover Sheet'!B5</f>
        <v>EXHIBIT J.6 - Cost Workbook</v>
      </c>
      <c r="C1" s="16"/>
      <c r="D1" s="16"/>
      <c r="E1" s="16"/>
      <c r="F1" s="16"/>
      <c r="G1" s="16"/>
    </row>
    <row r="2" spans="1:7" ht="15.5" x14ac:dyDescent="0.35">
      <c r="A2" s="28"/>
      <c r="B2" s="18"/>
      <c r="C2" s="19"/>
      <c r="D2" s="18"/>
      <c r="E2" s="18"/>
      <c r="F2" s="18"/>
      <c r="G2" s="20"/>
    </row>
    <row r="3" spans="1:7" x14ac:dyDescent="0.3">
      <c r="A3" s="21" t="s">
        <v>1</v>
      </c>
      <c r="B3" s="21" t="str">
        <f>'0. Cover Sheet'!B7</f>
        <v>696-IT-25-O053</v>
      </c>
      <c r="C3" s="22"/>
    </row>
    <row r="4" spans="1:7" ht="42" x14ac:dyDescent="0.3">
      <c r="A4" s="21" t="s">
        <v>3</v>
      </c>
      <c r="B4" s="21" t="str">
        <f>'0. Cover Sheet'!B8</f>
        <v>Texas Department of Criminal Justice Corrections Information Technology System 2.0 (CITS 2.0)</v>
      </c>
      <c r="C4" s="22"/>
      <c r="D4" s="23"/>
      <c r="E4" s="23"/>
    </row>
    <row r="5" spans="1:7" x14ac:dyDescent="0.3">
      <c r="A5" s="21" t="s">
        <v>5</v>
      </c>
      <c r="B5" s="29" t="str">
        <f>'0. Cover Sheet'!B9</f>
        <v>Respondent Name</v>
      </c>
      <c r="C5" s="6"/>
      <c r="D5" s="25"/>
      <c r="E5" s="25"/>
    </row>
    <row r="6" spans="1:7" x14ac:dyDescent="0.3">
      <c r="A6" s="21"/>
      <c r="B6" s="37"/>
      <c r="C6" s="6"/>
      <c r="D6" s="25"/>
      <c r="E6" s="25"/>
    </row>
    <row r="7" spans="1:7" x14ac:dyDescent="0.3">
      <c r="A7" s="35" t="s">
        <v>7</v>
      </c>
      <c r="B7" s="96" t="s">
        <v>8</v>
      </c>
      <c r="C7" s="96"/>
    </row>
    <row r="8" spans="1:7" ht="62.15" customHeight="1" x14ac:dyDescent="0.3">
      <c r="A8" s="72">
        <v>1</v>
      </c>
      <c r="B8" s="97" t="s">
        <v>9</v>
      </c>
      <c r="C8" s="98"/>
    </row>
    <row r="9" spans="1:7" ht="56.15" customHeight="1" x14ac:dyDescent="0.3">
      <c r="A9" s="72">
        <v>2</v>
      </c>
      <c r="B9" s="97" t="s">
        <v>10</v>
      </c>
      <c r="C9" s="98"/>
    </row>
    <row r="10" spans="1:7" ht="65.25" customHeight="1" x14ac:dyDescent="0.3">
      <c r="A10" s="72">
        <v>3</v>
      </c>
      <c r="B10" s="97" t="s">
        <v>11</v>
      </c>
      <c r="C10" s="98"/>
    </row>
    <row r="12" spans="1:7" ht="28" x14ac:dyDescent="0.3">
      <c r="A12" s="85" t="s">
        <v>12</v>
      </c>
      <c r="B12" s="85" t="s">
        <v>13</v>
      </c>
      <c r="C12" s="85" t="s">
        <v>14</v>
      </c>
    </row>
    <row r="13" spans="1:7" ht="84" x14ac:dyDescent="0.3">
      <c r="A13" s="30" t="s">
        <v>15</v>
      </c>
      <c r="B13" s="31" t="s">
        <v>16</v>
      </c>
      <c r="C13" s="32" t="s">
        <v>17</v>
      </c>
    </row>
    <row r="14" spans="1:7" x14ac:dyDescent="0.3">
      <c r="A14" s="99" t="s">
        <v>18</v>
      </c>
      <c r="B14" s="99"/>
      <c r="C14" s="99"/>
    </row>
    <row r="15" spans="1:7" ht="56" x14ac:dyDescent="0.3">
      <c r="A15" s="30" t="s">
        <v>19</v>
      </c>
      <c r="B15" s="31" t="s">
        <v>20</v>
      </c>
      <c r="C15" s="33" t="s">
        <v>21</v>
      </c>
    </row>
    <row r="16" spans="1:7" x14ac:dyDescent="0.3">
      <c r="A16" s="99" t="s">
        <v>22</v>
      </c>
      <c r="B16" s="99"/>
      <c r="C16" s="99"/>
    </row>
    <row r="17" spans="1:3" ht="42" x14ac:dyDescent="0.3">
      <c r="A17" s="30" t="s">
        <v>23</v>
      </c>
      <c r="B17" s="31" t="s">
        <v>24</v>
      </c>
      <c r="C17" s="33" t="s">
        <v>25</v>
      </c>
    </row>
    <row r="18" spans="1:3" ht="30" customHeight="1" x14ac:dyDescent="0.3">
      <c r="A18" s="99" t="s">
        <v>26</v>
      </c>
      <c r="B18" s="99"/>
      <c r="C18" s="99"/>
    </row>
    <row r="19" spans="1:3" ht="84" x14ac:dyDescent="0.3">
      <c r="A19" s="86" t="s">
        <v>27</v>
      </c>
      <c r="B19" s="31" t="s">
        <v>28</v>
      </c>
      <c r="C19" s="32" t="s">
        <v>29</v>
      </c>
    </row>
    <row r="20" spans="1:3" x14ac:dyDescent="0.3">
      <c r="A20" s="99" t="s">
        <v>30</v>
      </c>
      <c r="B20" s="99"/>
      <c r="C20" s="99"/>
    </row>
    <row r="21" spans="1:3" ht="70" x14ac:dyDescent="0.3">
      <c r="A21" s="86" t="s">
        <v>31</v>
      </c>
      <c r="B21" s="34" t="s">
        <v>32</v>
      </c>
      <c r="C21" s="32" t="s">
        <v>197</v>
      </c>
    </row>
    <row r="22" spans="1:3" ht="56" x14ac:dyDescent="0.3">
      <c r="A22" s="86" t="s">
        <v>33</v>
      </c>
      <c r="B22" s="34" t="s">
        <v>34</v>
      </c>
      <c r="C22" s="32" t="s">
        <v>198</v>
      </c>
    </row>
    <row r="23" spans="1:3" x14ac:dyDescent="0.3">
      <c r="A23" s="99" t="s">
        <v>35</v>
      </c>
      <c r="B23" s="99"/>
      <c r="C23" s="99"/>
    </row>
    <row r="24" spans="1:3" ht="114.75" customHeight="1" x14ac:dyDescent="0.3">
      <c r="A24" s="87" t="s">
        <v>36</v>
      </c>
      <c r="B24" s="34" t="s">
        <v>37</v>
      </c>
      <c r="C24" s="33" t="s">
        <v>199</v>
      </c>
    </row>
    <row r="25" spans="1:3" ht="18.75" customHeight="1" x14ac:dyDescent="0.3">
      <c r="A25" s="99" t="s">
        <v>38</v>
      </c>
      <c r="B25" s="99"/>
      <c r="C25" s="99"/>
    </row>
    <row r="26" spans="1:3" ht="90" customHeight="1" x14ac:dyDescent="0.3">
      <c r="A26" s="86" t="s">
        <v>39</v>
      </c>
      <c r="B26" s="34" t="s">
        <v>200</v>
      </c>
      <c r="C26" s="33" t="s">
        <v>201</v>
      </c>
    </row>
    <row r="27" spans="1:3" ht="18.75" customHeight="1" x14ac:dyDescent="0.3">
      <c r="A27" s="99" t="s">
        <v>40</v>
      </c>
      <c r="B27" s="99"/>
      <c r="C27" s="99"/>
    </row>
    <row r="28" spans="1:3" ht="90" customHeight="1" x14ac:dyDescent="0.3">
      <c r="A28" s="86" t="s">
        <v>41</v>
      </c>
      <c r="B28" s="34" t="s">
        <v>42</v>
      </c>
      <c r="C28" s="33" t="s">
        <v>43</v>
      </c>
    </row>
    <row r="29" spans="1:3" x14ac:dyDescent="0.3">
      <c r="A29" s="99" t="s">
        <v>44</v>
      </c>
      <c r="B29" s="99"/>
      <c r="C29" s="99"/>
    </row>
    <row r="30" spans="1:3" ht="70" x14ac:dyDescent="0.3">
      <c r="A30" s="86" t="s">
        <v>45</v>
      </c>
      <c r="B30" s="34" t="s">
        <v>46</v>
      </c>
      <c r="C30" s="33" t="s">
        <v>47</v>
      </c>
    </row>
    <row r="32" spans="1:3" x14ac:dyDescent="0.3">
      <c r="A32" s="35" t="s">
        <v>7</v>
      </c>
      <c r="B32" s="96" t="s">
        <v>8</v>
      </c>
      <c r="C32" s="96"/>
    </row>
    <row r="33" spans="1:3" ht="62.15" customHeight="1" x14ac:dyDescent="0.3">
      <c r="A33" s="72">
        <v>1</v>
      </c>
      <c r="B33" s="97" t="s">
        <v>9</v>
      </c>
      <c r="C33" s="98"/>
    </row>
    <row r="34" spans="1:3" ht="56.15" customHeight="1" x14ac:dyDescent="0.3">
      <c r="A34" s="72">
        <v>2</v>
      </c>
      <c r="B34" s="97" t="s">
        <v>10</v>
      </c>
      <c r="C34" s="98"/>
    </row>
    <row r="35" spans="1:3" ht="65.25" customHeight="1" x14ac:dyDescent="0.3">
      <c r="A35" s="72">
        <v>3</v>
      </c>
      <c r="B35" s="97" t="s">
        <v>11</v>
      </c>
      <c r="C35" s="98"/>
    </row>
  </sheetData>
  <mergeCells count="16">
    <mergeCell ref="B34:C34"/>
    <mergeCell ref="B35:C35"/>
    <mergeCell ref="B32:C32"/>
    <mergeCell ref="A14:C14"/>
    <mergeCell ref="A16:C16"/>
    <mergeCell ref="A18:C18"/>
    <mergeCell ref="A20:C20"/>
    <mergeCell ref="A23:C23"/>
    <mergeCell ref="A29:C29"/>
    <mergeCell ref="A25:C25"/>
    <mergeCell ref="A27:C27"/>
    <mergeCell ref="B7:C7"/>
    <mergeCell ref="B8:C8"/>
    <mergeCell ref="B9:C9"/>
    <mergeCell ref="B10:C10"/>
    <mergeCell ref="B33:C33"/>
  </mergeCells>
  <hyperlinks>
    <hyperlink ref="A17" location="'2. Total Price Summary'!A1" display="2. Total Price Summary" xr:uid="{031A4B27-0A92-4E17-A527-84291B238308}"/>
    <hyperlink ref="A15" location="'1. ToC &amp; Instructions'!A1" display="1 Table of Contents (TOC) &amp; Instructions" xr:uid="{FF9496FC-2746-40EA-9E90-7A44256C50CB}"/>
    <hyperlink ref="A21" location="'End-User Count'!A1" display="End-User Count" xr:uid="{7517DB2F-4736-4FCC-855C-62E0B3E73BDD}"/>
    <hyperlink ref="A13" location="'0. Cover Sheet'!A1" display="0. Cover Sheet" xr:uid="{73F353A1-7BA6-4C7A-9BF7-F4C88DFC163F}"/>
    <hyperlink ref="A19" location="'3. Deliverables Costs'!Print_Area" display="3. Deliverable Costs" xr:uid="{0F5CE182-CB0F-4CCD-A374-E5189E054CAC}"/>
    <hyperlink ref="A21" location="'4. License Subscription Costs'!A1" display="4. License/Subscription Costs" xr:uid="{06A2C5FB-46E9-4FA0-9F16-DF63411E76CD}"/>
    <hyperlink ref="A22" location="'5.  Maint. &amp; Operations Costs'!Print_Area" display="5. Maint. &amp; Operations Costs" xr:uid="{5B583C9F-9853-4A7D-BCF8-44ED4A094919}"/>
    <hyperlink ref="A30" location="'9. Assumptions'!A1" display="9. Assumptions" xr:uid="{D481B7D6-209F-43E8-B54A-268872C64600}"/>
    <hyperlink ref="A24" location="'6. Infrastructure'!A1" display="6. Infrastructure" xr:uid="{9163A7A6-EA47-4B51-8FA6-D95CAFE00A16}"/>
    <hyperlink ref="A26" location="'7. Optional Services'!A1" display="7. Optional Services" xr:uid="{61D43B52-11C0-43CA-984E-046BFF47233B}"/>
    <hyperlink ref="A28" location="'8. Rate Sheet'!A1" display="8. Rate Sheet" xr:uid="{06213386-CBD2-4A97-A28A-394D3EB0A0FF}"/>
  </hyperlinks>
  <pageMargins left="0.25" right="0.25" top="0.75" bottom="0.75" header="0.3" footer="0.3"/>
  <pageSetup scale="76" orientation="portrait" r:id="rId1"/>
  <headerFooter>
    <oddHeader>&amp;C&amp;A</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B27F-59D9-49B8-8B1C-8A76D3FB1CA4}">
  <sheetPr>
    <pageSetUpPr fitToPage="1"/>
  </sheetPr>
  <dimension ref="A1:H19"/>
  <sheetViews>
    <sheetView showGridLines="0" topLeftCell="A3" zoomScale="85" zoomScaleNormal="85" workbookViewId="0">
      <selection activeCell="B10" sqref="B10:E10"/>
    </sheetView>
  </sheetViews>
  <sheetFormatPr defaultColWidth="9.1796875" defaultRowHeight="14" x14ac:dyDescent="0.3"/>
  <cols>
    <col min="1" max="1" width="53.26953125" style="6" customWidth="1"/>
    <col min="2" max="2" width="19.81640625" style="6" customWidth="1"/>
    <col min="3" max="3" width="23.81640625" style="6" customWidth="1"/>
    <col min="4" max="4" width="24.54296875" style="6" customWidth="1"/>
    <col min="5" max="5" width="25.54296875" style="6" customWidth="1"/>
    <col min="6" max="7" width="9.1796875" style="6"/>
    <col min="8" max="8" width="13.90625" style="6" bestFit="1" customWidth="1"/>
    <col min="9" max="16384" width="9.1796875" style="6"/>
  </cols>
  <sheetData>
    <row r="1" spans="1:8" ht="27" customHeight="1" x14ac:dyDescent="0.4">
      <c r="A1" s="76" t="s">
        <v>48</v>
      </c>
      <c r="B1" s="1"/>
      <c r="C1" s="2"/>
      <c r="D1" s="1"/>
    </row>
    <row r="2" spans="1:8" ht="15" customHeight="1" x14ac:dyDescent="0.3">
      <c r="A2" s="28"/>
      <c r="C2" s="21"/>
      <c r="D2" s="21"/>
    </row>
    <row r="3" spans="1:8" x14ac:dyDescent="0.3">
      <c r="A3" s="21" t="s">
        <v>1</v>
      </c>
      <c r="B3" s="21" t="str">
        <f>'0. Cover Sheet'!B7</f>
        <v>696-IT-25-O053</v>
      </c>
      <c r="C3" s="21"/>
      <c r="D3" s="21"/>
      <c r="E3" s="23"/>
    </row>
    <row r="4" spans="1:8" ht="69.75" customHeight="1" x14ac:dyDescent="0.3">
      <c r="A4" s="21" t="s">
        <v>3</v>
      </c>
      <c r="B4" s="100" t="str">
        <f>'0. Cover Sheet'!B8</f>
        <v>Texas Department of Criminal Justice Corrections Information Technology System 2.0 (CITS 2.0)</v>
      </c>
      <c r="C4" s="100"/>
    </row>
    <row r="5" spans="1:8" x14ac:dyDescent="0.3">
      <c r="A5" s="21" t="s">
        <v>5</v>
      </c>
      <c r="B5" s="101" t="str">
        <f>'0. Cover Sheet'!B9</f>
        <v>Respondent Name</v>
      </c>
      <c r="C5" s="101"/>
    </row>
    <row r="6" spans="1:8" ht="15" customHeight="1" x14ac:dyDescent="0.3">
      <c r="A6" s="21"/>
      <c r="B6" s="37"/>
    </row>
    <row r="7" spans="1:8" ht="33.75" customHeight="1" x14ac:dyDescent="0.3">
      <c r="A7" s="109" t="s">
        <v>49</v>
      </c>
      <c r="B7" s="110"/>
      <c r="C7" s="110"/>
      <c r="D7" s="110"/>
      <c r="E7" s="111"/>
    </row>
    <row r="8" spans="1:8" ht="15" customHeight="1" x14ac:dyDescent="0.3">
      <c r="A8" s="102" t="s">
        <v>50</v>
      </c>
      <c r="B8" s="103"/>
      <c r="C8" s="103"/>
      <c r="D8" s="103"/>
      <c r="E8" s="104"/>
    </row>
    <row r="9" spans="1:8" ht="30" customHeight="1" x14ac:dyDescent="0.3">
      <c r="A9" s="105"/>
      <c r="B9" s="106"/>
      <c r="C9" s="106"/>
      <c r="D9" s="106"/>
      <c r="E9" s="107"/>
    </row>
    <row r="10" spans="1:8" ht="30" customHeight="1" x14ac:dyDescent="0.35">
      <c r="A10" s="77" t="s">
        <v>26</v>
      </c>
      <c r="B10" s="112">
        <f>'3. Deliverables Costs'!F46</f>
        <v>0</v>
      </c>
      <c r="C10" s="113"/>
      <c r="D10" s="113"/>
      <c r="E10" s="114"/>
    </row>
    <row r="11" spans="1:8" s="79" customFormat="1" ht="30" customHeight="1" x14ac:dyDescent="0.35">
      <c r="A11" s="78" t="s">
        <v>51</v>
      </c>
      <c r="B11" s="115">
        <f>B10</f>
        <v>0</v>
      </c>
      <c r="C11" s="115"/>
      <c r="D11" s="115"/>
      <c r="E11" s="116"/>
    </row>
    <row r="12" spans="1:8" ht="30" customHeight="1" x14ac:dyDescent="0.3">
      <c r="A12" s="117" t="s">
        <v>30</v>
      </c>
      <c r="B12" s="118"/>
      <c r="C12" s="118"/>
      <c r="D12" s="118"/>
      <c r="E12" s="119"/>
    </row>
    <row r="13" spans="1:8" ht="30" customHeight="1" x14ac:dyDescent="0.3">
      <c r="A13" s="89"/>
      <c r="B13" s="80" t="s">
        <v>52</v>
      </c>
      <c r="C13" s="81" t="s">
        <v>53</v>
      </c>
      <c r="D13" s="81" t="s">
        <v>54</v>
      </c>
      <c r="E13" s="82" t="s">
        <v>55</v>
      </c>
    </row>
    <row r="14" spans="1:8" ht="30" customHeight="1" x14ac:dyDescent="0.35">
      <c r="A14" s="83" t="s">
        <v>56</v>
      </c>
      <c r="B14" s="75">
        <f>'4. License Subscription Costs'!E16</f>
        <v>0</v>
      </c>
      <c r="C14" s="75">
        <f>'4. License Subscription Costs'!E17</f>
        <v>0</v>
      </c>
      <c r="D14" s="75">
        <f>'4. License Subscription Costs'!E18</f>
        <v>0</v>
      </c>
      <c r="E14" s="156">
        <f>'4. License Subscription Costs'!E19</f>
        <v>0</v>
      </c>
    </row>
    <row r="15" spans="1:8" ht="30" customHeight="1" x14ac:dyDescent="0.35">
      <c r="A15" s="83" t="s">
        <v>57</v>
      </c>
      <c r="B15" s="75">
        <f>'5.  Maint. &amp; Operations Costs'!G16</f>
        <v>0</v>
      </c>
      <c r="C15" s="75">
        <f>'5.  Maint. &amp; Operations Costs'!G17</f>
        <v>0</v>
      </c>
      <c r="D15" s="75">
        <f>'5.  Maint. &amp; Operations Costs'!G18</f>
        <v>0</v>
      </c>
      <c r="E15" s="75">
        <f>'5.  Maint. &amp; Operations Costs'!G19</f>
        <v>0</v>
      </c>
    </row>
    <row r="16" spans="1:8" ht="30" customHeight="1" x14ac:dyDescent="0.35">
      <c r="A16" s="84" t="s">
        <v>223</v>
      </c>
      <c r="B16" s="157">
        <f>SUM(B14:B15)</f>
        <v>0</v>
      </c>
      <c r="C16" s="157">
        <f>SUM(C14:C15)</f>
        <v>0</v>
      </c>
      <c r="D16" s="157">
        <f>SUM(D14:D15)</f>
        <v>0</v>
      </c>
      <c r="E16" s="157">
        <f>SUM(E14:E15)</f>
        <v>0</v>
      </c>
      <c r="H16" s="155"/>
    </row>
    <row r="17" spans="1:8" ht="30" customHeight="1" x14ac:dyDescent="0.35">
      <c r="A17" s="78" t="s">
        <v>58</v>
      </c>
      <c r="B17" s="108">
        <f>SUM(B16:E16)</f>
        <v>0</v>
      </c>
      <c r="C17" s="108"/>
      <c r="D17" s="108"/>
      <c r="E17" s="108"/>
      <c r="H17" s="155"/>
    </row>
    <row r="18" spans="1:8" ht="30" customHeight="1" x14ac:dyDescent="0.3">
      <c r="A18" s="117" t="s">
        <v>59</v>
      </c>
      <c r="B18" s="118"/>
      <c r="C18" s="118"/>
      <c r="D18" s="118"/>
      <c r="E18" s="119"/>
    </row>
    <row r="19" spans="1:8" s="79" customFormat="1" ht="30" customHeight="1" x14ac:dyDescent="0.35">
      <c r="A19" s="78" t="s">
        <v>60</v>
      </c>
      <c r="B19" s="108">
        <f>B17+B11</f>
        <v>0</v>
      </c>
      <c r="C19" s="108"/>
      <c r="D19" s="108"/>
      <c r="E19" s="108"/>
      <c r="H19" s="158"/>
    </row>
  </sheetData>
  <mergeCells count="10">
    <mergeCell ref="B19:E19"/>
    <mergeCell ref="B11:E11"/>
    <mergeCell ref="A12:E12"/>
    <mergeCell ref="A18:E18"/>
    <mergeCell ref="B4:C4"/>
    <mergeCell ref="B5:C5"/>
    <mergeCell ref="A8:E9"/>
    <mergeCell ref="B17:E17"/>
    <mergeCell ref="A7:E7"/>
    <mergeCell ref="B10:E10"/>
  </mergeCells>
  <hyperlinks>
    <hyperlink ref="A1" location="'1. TOC &amp; Instructions'!A1" display="Link: TOC &amp; Instructions" xr:uid="{49D223E1-2CA3-47C1-BEA2-206C3F81B2D1}"/>
  </hyperlinks>
  <pageMargins left="0.7" right="0.7" top="0.75" bottom="0.75" header="0.3" footer="0.3"/>
  <pageSetup scale="48" orientation="landscape" r:id="rId1"/>
  <headerFooter>
    <oddHeader>&amp;C&amp;A</oddHeader>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1CBA4-6A67-409B-858C-5EC912977031}">
  <sheetPr>
    <pageSetUpPr fitToPage="1"/>
  </sheetPr>
  <dimension ref="A1:M47"/>
  <sheetViews>
    <sheetView showGridLines="0" topLeftCell="A14" zoomScale="85" zoomScaleNormal="85" workbookViewId="0">
      <selection activeCell="E28" sqref="E28"/>
    </sheetView>
  </sheetViews>
  <sheetFormatPr defaultColWidth="9.1796875" defaultRowHeight="14" x14ac:dyDescent="0.3"/>
  <cols>
    <col min="1" max="1" width="10.81640625" style="6" customWidth="1"/>
    <col min="2" max="2" width="30.81640625" style="6" customWidth="1"/>
    <col min="3" max="3" width="36.1796875" style="6" customWidth="1"/>
    <col min="4" max="4" width="30.54296875" style="6" customWidth="1"/>
    <col min="5" max="5" width="37.453125" style="36" customWidth="1"/>
    <col min="6" max="6" width="30.54296875" style="6" customWidth="1"/>
    <col min="7" max="7" width="37.81640625" style="6" customWidth="1"/>
    <col min="8" max="8" width="9.1796875" style="6"/>
    <col min="9" max="9" width="19.26953125" style="6" bestFit="1" customWidth="1"/>
    <col min="10" max="12" width="10.54296875" style="6" bestFit="1" customWidth="1"/>
    <col min="13" max="16384" width="9.1796875" style="6"/>
  </cols>
  <sheetData>
    <row r="1" spans="1:7" s="20" customFormat="1" ht="32.15" customHeight="1" x14ac:dyDescent="0.4">
      <c r="A1" s="15" t="s">
        <v>48</v>
      </c>
      <c r="B1" s="15"/>
      <c r="C1" s="27"/>
      <c r="D1" s="16" t="str">
        <f>'0. Cover Sheet'!B5</f>
        <v>EXHIBIT J.6 - Cost Workbook</v>
      </c>
      <c r="E1" s="16"/>
      <c r="F1" s="16"/>
      <c r="G1" s="16"/>
    </row>
    <row r="2" spans="1:7" s="20" customFormat="1" ht="15" customHeight="1" x14ac:dyDescent="0.4">
      <c r="A2" s="28"/>
      <c r="B2" s="28"/>
      <c r="C2" s="28"/>
      <c r="E2" s="16"/>
      <c r="F2" s="16"/>
      <c r="G2" s="16"/>
    </row>
    <row r="3" spans="1:7" s="20" customFormat="1" ht="15" customHeight="1" x14ac:dyDescent="0.3">
      <c r="C3" s="37" t="s">
        <v>1</v>
      </c>
      <c r="D3" s="21" t="str">
        <f>'0. Cover Sheet'!B7</f>
        <v>696-IT-25-O053</v>
      </c>
      <c r="E3" s="40"/>
    </row>
    <row r="4" spans="1:7" s="20" customFormat="1" ht="15" customHeight="1" x14ac:dyDescent="0.3">
      <c r="C4" s="37" t="s">
        <v>3</v>
      </c>
      <c r="D4" s="37" t="str">
        <f>'0. Cover Sheet'!B8</f>
        <v>Texas Department of Criminal Justice Corrections Information Technology System 2.0 (CITS 2.0)</v>
      </c>
      <c r="E4" s="40"/>
      <c r="F4" s="23"/>
    </row>
    <row r="5" spans="1:7" s="20" customFormat="1" ht="15" customHeight="1" x14ac:dyDescent="0.3">
      <c r="C5" s="37" t="s">
        <v>5</v>
      </c>
      <c r="D5" s="29" t="str">
        <f>'0. Cover Sheet'!B9</f>
        <v>Respondent Name</v>
      </c>
      <c r="E5" s="25"/>
      <c r="F5" s="41"/>
    </row>
    <row r="6" spans="1:7" ht="15" customHeight="1" x14ac:dyDescent="0.3">
      <c r="A6" s="88"/>
      <c r="B6" s="88"/>
      <c r="C6" s="88"/>
      <c r="D6" s="88"/>
      <c r="E6" s="42"/>
      <c r="F6" s="25"/>
      <c r="G6" s="20"/>
    </row>
    <row r="7" spans="1:7" ht="15.5" x14ac:dyDescent="0.3">
      <c r="A7" s="120" t="s">
        <v>61</v>
      </c>
      <c r="B7" s="120"/>
      <c r="C7" s="120"/>
      <c r="D7" s="120"/>
      <c r="E7" s="120"/>
      <c r="F7" s="120"/>
      <c r="G7" s="20"/>
    </row>
    <row r="8" spans="1:7" ht="30" customHeight="1" x14ac:dyDescent="0.3">
      <c r="A8" s="43">
        <v>1</v>
      </c>
      <c r="B8" s="121" t="s">
        <v>62</v>
      </c>
      <c r="C8" s="122"/>
      <c r="D8" s="122"/>
      <c r="E8" s="122"/>
      <c r="F8" s="123"/>
      <c r="G8" s="20"/>
    </row>
    <row r="9" spans="1:7" ht="30" customHeight="1" x14ac:dyDescent="0.3">
      <c r="A9" s="43">
        <v>2</v>
      </c>
      <c r="B9" s="124" t="s">
        <v>63</v>
      </c>
      <c r="C9" s="125"/>
      <c r="D9" s="125"/>
      <c r="E9" s="125"/>
      <c r="F9" s="126"/>
      <c r="G9" s="20"/>
    </row>
    <row r="10" spans="1:7" ht="30" customHeight="1" x14ac:dyDescent="0.3">
      <c r="A10" s="43">
        <v>3</v>
      </c>
      <c r="B10" s="127" t="s">
        <v>64</v>
      </c>
      <c r="C10" s="128"/>
      <c r="D10" s="128"/>
      <c r="E10" s="128"/>
      <c r="F10" s="129"/>
      <c r="G10" s="20"/>
    </row>
    <row r="11" spans="1:7" ht="186.75" customHeight="1" x14ac:dyDescent="0.3">
      <c r="A11" s="43">
        <v>4</v>
      </c>
      <c r="B11" s="121" t="s">
        <v>221</v>
      </c>
      <c r="C11" s="122"/>
      <c r="D11" s="122"/>
      <c r="E11" s="122"/>
      <c r="F11" s="123"/>
      <c r="G11" s="20"/>
    </row>
    <row r="12" spans="1:7" ht="75" customHeight="1" x14ac:dyDescent="0.3">
      <c r="A12" s="39">
        <v>5</v>
      </c>
      <c r="B12" s="133" t="s">
        <v>65</v>
      </c>
      <c r="C12" s="134"/>
      <c r="D12" s="134"/>
      <c r="E12" s="134"/>
      <c r="F12" s="135"/>
      <c r="G12" s="20"/>
    </row>
    <row r="13" spans="1:7" ht="74.25" customHeight="1" x14ac:dyDescent="0.3">
      <c r="A13" s="52">
        <v>6</v>
      </c>
      <c r="B13" s="133" t="s">
        <v>213</v>
      </c>
      <c r="C13" s="134"/>
      <c r="D13" s="134"/>
      <c r="E13" s="134"/>
      <c r="F13" s="135"/>
      <c r="G13" s="20"/>
    </row>
    <row r="14" spans="1:7" ht="15" customHeight="1" x14ac:dyDescent="0.3">
      <c r="A14" s="44"/>
      <c r="B14" s="44"/>
      <c r="C14" s="45"/>
      <c r="D14" s="45"/>
      <c r="E14" s="45"/>
      <c r="F14" s="45"/>
      <c r="G14" s="20"/>
    </row>
    <row r="15" spans="1:7" ht="15" customHeight="1" x14ac:dyDescent="0.3">
      <c r="A15" s="136" t="s">
        <v>26</v>
      </c>
      <c r="B15" s="136"/>
      <c r="C15" s="136"/>
      <c r="D15" s="136"/>
      <c r="E15" s="136"/>
      <c r="F15" s="136"/>
      <c r="G15" s="20"/>
    </row>
    <row r="16" spans="1:7" ht="65.25" customHeight="1" x14ac:dyDescent="0.3">
      <c r="A16" s="46" t="s">
        <v>66</v>
      </c>
      <c r="B16" s="47" t="s">
        <v>67</v>
      </c>
      <c r="C16" s="46" t="s">
        <v>68</v>
      </c>
      <c r="D16" s="46" t="s">
        <v>69</v>
      </c>
      <c r="E16" s="94" t="s">
        <v>70</v>
      </c>
      <c r="F16" s="48" t="s">
        <v>71</v>
      </c>
      <c r="G16" s="20"/>
    </row>
    <row r="17" spans="1:13" ht="25" x14ac:dyDescent="0.3">
      <c r="A17" s="8" t="s">
        <v>72</v>
      </c>
      <c r="B17" s="11" t="s">
        <v>73</v>
      </c>
      <c r="C17" s="9" t="s">
        <v>219</v>
      </c>
      <c r="D17" s="10" t="s">
        <v>74</v>
      </c>
      <c r="E17" s="9" t="s">
        <v>195</v>
      </c>
      <c r="F17" s="49">
        <v>0</v>
      </c>
      <c r="G17" s="20"/>
      <c r="J17" s="50"/>
      <c r="K17" s="50"/>
    </row>
    <row r="18" spans="1:13" ht="25" x14ac:dyDescent="0.3">
      <c r="A18" s="8" t="s">
        <v>75</v>
      </c>
      <c r="B18" s="12" t="s">
        <v>76</v>
      </c>
      <c r="C18" s="9" t="s">
        <v>219</v>
      </c>
      <c r="D18" s="10" t="s">
        <v>74</v>
      </c>
      <c r="E18" s="9" t="s">
        <v>195</v>
      </c>
      <c r="F18" s="49">
        <v>0</v>
      </c>
      <c r="G18" s="20"/>
      <c r="J18" s="50"/>
      <c r="K18" s="50"/>
    </row>
    <row r="19" spans="1:13" ht="37.5" x14ac:dyDescent="0.3">
      <c r="A19" s="8" t="s">
        <v>77</v>
      </c>
      <c r="B19" s="12" t="s">
        <v>78</v>
      </c>
      <c r="C19" s="9" t="s">
        <v>79</v>
      </c>
      <c r="D19" s="10" t="s">
        <v>74</v>
      </c>
      <c r="E19" s="9" t="s">
        <v>196</v>
      </c>
      <c r="F19" s="49">
        <v>0</v>
      </c>
      <c r="G19" s="20"/>
      <c r="J19" s="50"/>
      <c r="K19" s="50"/>
      <c r="L19" s="50"/>
      <c r="M19" s="50"/>
    </row>
    <row r="20" spans="1:13" ht="25" x14ac:dyDescent="0.3">
      <c r="A20" s="8" t="s">
        <v>80</v>
      </c>
      <c r="B20" s="12" t="s">
        <v>81</v>
      </c>
      <c r="C20" s="9" t="s">
        <v>82</v>
      </c>
      <c r="D20" s="10" t="s">
        <v>74</v>
      </c>
      <c r="E20" s="9" t="s">
        <v>195</v>
      </c>
      <c r="F20" s="49">
        <v>0</v>
      </c>
      <c r="G20" s="20"/>
      <c r="J20" s="50"/>
      <c r="K20" s="50"/>
      <c r="L20" s="50"/>
      <c r="M20" s="50"/>
    </row>
    <row r="21" spans="1:13" ht="25" x14ac:dyDescent="0.3">
      <c r="A21" s="8" t="s">
        <v>83</v>
      </c>
      <c r="B21" s="12" t="s">
        <v>84</v>
      </c>
      <c r="C21" s="9" t="s">
        <v>208</v>
      </c>
      <c r="D21" s="10" t="s">
        <v>85</v>
      </c>
      <c r="E21" s="9" t="s">
        <v>195</v>
      </c>
      <c r="F21" s="49">
        <v>0</v>
      </c>
      <c r="G21" s="20"/>
      <c r="J21" s="50"/>
      <c r="K21" s="50"/>
      <c r="L21" s="50"/>
      <c r="M21" s="50"/>
    </row>
    <row r="22" spans="1:13" ht="25" x14ac:dyDescent="0.3">
      <c r="A22" s="8" t="s">
        <v>86</v>
      </c>
      <c r="B22" s="12" t="s">
        <v>87</v>
      </c>
      <c r="C22" s="9" t="s">
        <v>82</v>
      </c>
      <c r="D22" s="10" t="s">
        <v>88</v>
      </c>
      <c r="E22" s="10" t="s">
        <v>89</v>
      </c>
      <c r="F22" s="49">
        <v>0</v>
      </c>
      <c r="G22" s="20"/>
      <c r="J22" s="50"/>
      <c r="K22" s="50"/>
      <c r="L22" s="50"/>
      <c r="M22" s="50"/>
    </row>
    <row r="23" spans="1:13" ht="25" x14ac:dyDescent="0.3">
      <c r="A23" s="8" t="s">
        <v>90</v>
      </c>
      <c r="B23" s="12" t="s">
        <v>91</v>
      </c>
      <c r="C23" s="9" t="s">
        <v>82</v>
      </c>
      <c r="D23" s="10" t="s">
        <v>88</v>
      </c>
      <c r="E23" s="10" t="s">
        <v>89</v>
      </c>
      <c r="F23" s="49">
        <v>0</v>
      </c>
      <c r="G23" s="20"/>
      <c r="J23" s="50"/>
      <c r="K23" s="50"/>
      <c r="L23" s="50"/>
      <c r="M23" s="50"/>
    </row>
    <row r="24" spans="1:13" ht="25" x14ac:dyDescent="0.3">
      <c r="A24" s="8" t="s">
        <v>92</v>
      </c>
      <c r="B24" s="12" t="s">
        <v>93</v>
      </c>
      <c r="C24" s="9" t="s">
        <v>208</v>
      </c>
      <c r="D24" s="10" t="s">
        <v>88</v>
      </c>
      <c r="E24" s="9" t="s">
        <v>195</v>
      </c>
      <c r="F24" s="49">
        <v>0</v>
      </c>
      <c r="G24" s="20"/>
      <c r="J24" s="50"/>
      <c r="K24" s="50"/>
      <c r="L24" s="50"/>
      <c r="M24" s="50"/>
    </row>
    <row r="25" spans="1:13" ht="25" x14ac:dyDescent="0.3">
      <c r="A25" s="8" t="s">
        <v>94</v>
      </c>
      <c r="B25" s="12" t="s">
        <v>95</v>
      </c>
      <c r="C25" s="9" t="s">
        <v>207</v>
      </c>
      <c r="D25" s="10" t="s">
        <v>88</v>
      </c>
      <c r="E25" s="9" t="s">
        <v>195</v>
      </c>
      <c r="F25" s="49">
        <v>0</v>
      </c>
      <c r="G25" s="20"/>
      <c r="J25" s="50"/>
      <c r="K25" s="50"/>
      <c r="L25" s="50"/>
      <c r="M25" s="50"/>
    </row>
    <row r="26" spans="1:13" ht="50" x14ac:dyDescent="0.3">
      <c r="A26" s="8" t="s">
        <v>96</v>
      </c>
      <c r="B26" s="12" t="s">
        <v>97</v>
      </c>
      <c r="C26" s="9" t="s">
        <v>82</v>
      </c>
      <c r="D26" s="10" t="s">
        <v>98</v>
      </c>
      <c r="E26" s="9" t="s">
        <v>202</v>
      </c>
      <c r="F26" s="49">
        <v>0</v>
      </c>
      <c r="G26" s="20"/>
    </row>
    <row r="27" spans="1:13" ht="50" x14ac:dyDescent="0.3">
      <c r="A27" s="8" t="s">
        <v>99</v>
      </c>
      <c r="B27" s="12" t="s">
        <v>100</v>
      </c>
      <c r="C27" s="9" t="s">
        <v>82</v>
      </c>
      <c r="D27" s="10" t="s">
        <v>98</v>
      </c>
      <c r="E27" s="9" t="s">
        <v>202</v>
      </c>
      <c r="F27" s="49">
        <v>0</v>
      </c>
      <c r="G27" s="20"/>
    </row>
    <row r="28" spans="1:13" ht="50" x14ac:dyDescent="0.3">
      <c r="A28" s="8" t="s">
        <v>101</v>
      </c>
      <c r="B28" s="12" t="s">
        <v>102</v>
      </c>
      <c r="C28" s="9" t="s">
        <v>82</v>
      </c>
      <c r="D28" s="10" t="s">
        <v>103</v>
      </c>
      <c r="E28" s="9" t="s">
        <v>203</v>
      </c>
      <c r="F28" s="49">
        <v>0</v>
      </c>
      <c r="G28" s="20"/>
    </row>
    <row r="29" spans="1:13" ht="50" x14ac:dyDescent="0.3">
      <c r="A29" s="8" t="s">
        <v>104</v>
      </c>
      <c r="B29" s="12" t="s">
        <v>105</v>
      </c>
      <c r="C29" s="9" t="s">
        <v>82</v>
      </c>
      <c r="D29" s="10" t="s">
        <v>103</v>
      </c>
      <c r="E29" s="9" t="s">
        <v>203</v>
      </c>
      <c r="F29" s="49">
        <v>0</v>
      </c>
      <c r="G29" s="20"/>
    </row>
    <row r="30" spans="1:13" ht="25" x14ac:dyDescent="0.3">
      <c r="A30" s="8" t="s">
        <v>106</v>
      </c>
      <c r="B30" s="12" t="s">
        <v>107</v>
      </c>
      <c r="C30" s="9" t="s">
        <v>208</v>
      </c>
      <c r="D30" s="10" t="s">
        <v>108</v>
      </c>
      <c r="E30" s="9" t="s">
        <v>195</v>
      </c>
      <c r="F30" s="49">
        <v>0</v>
      </c>
      <c r="G30" s="20"/>
    </row>
    <row r="31" spans="1:13" ht="25" x14ac:dyDescent="0.3">
      <c r="A31" s="8" t="s">
        <v>109</v>
      </c>
      <c r="B31" s="12" t="s">
        <v>110</v>
      </c>
      <c r="C31" s="9" t="s">
        <v>209</v>
      </c>
      <c r="D31" s="10" t="s">
        <v>108</v>
      </c>
      <c r="E31" s="10" t="s">
        <v>89</v>
      </c>
      <c r="F31" s="49">
        <v>0</v>
      </c>
      <c r="G31" s="20"/>
    </row>
    <row r="32" spans="1:13" ht="25" x14ac:dyDescent="0.3">
      <c r="A32" s="8" t="s">
        <v>111</v>
      </c>
      <c r="B32" s="13" t="s">
        <v>112</v>
      </c>
      <c r="C32" s="9" t="s">
        <v>113</v>
      </c>
      <c r="D32" s="10" t="s">
        <v>108</v>
      </c>
      <c r="E32" s="10" t="s">
        <v>89</v>
      </c>
      <c r="F32" s="49">
        <v>0</v>
      </c>
      <c r="G32" s="20"/>
    </row>
    <row r="33" spans="1:9" ht="25" x14ac:dyDescent="0.3">
      <c r="A33" s="8" t="s">
        <v>114</v>
      </c>
      <c r="B33" s="12" t="s">
        <v>115</v>
      </c>
      <c r="C33" s="9" t="s">
        <v>210</v>
      </c>
      <c r="D33" s="10" t="s">
        <v>116</v>
      </c>
      <c r="E33" s="10" t="s">
        <v>89</v>
      </c>
      <c r="F33" s="49">
        <v>0</v>
      </c>
      <c r="G33" s="20"/>
    </row>
    <row r="34" spans="1:9" ht="25" x14ac:dyDescent="0.3">
      <c r="A34" s="8" t="s">
        <v>117</v>
      </c>
      <c r="B34" s="12" t="s">
        <v>118</v>
      </c>
      <c r="C34" s="9" t="s">
        <v>211</v>
      </c>
      <c r="D34" s="10" t="s">
        <v>116</v>
      </c>
      <c r="E34" s="10" t="s">
        <v>89</v>
      </c>
      <c r="F34" s="49">
        <v>0</v>
      </c>
      <c r="G34" s="20"/>
    </row>
    <row r="35" spans="1:9" ht="25" x14ac:dyDescent="0.3">
      <c r="A35" s="8" t="s">
        <v>119</v>
      </c>
      <c r="B35" s="12" t="s">
        <v>120</v>
      </c>
      <c r="C35" s="9" t="s">
        <v>121</v>
      </c>
      <c r="D35" s="10" t="s">
        <v>204</v>
      </c>
      <c r="E35" s="9" t="s">
        <v>195</v>
      </c>
      <c r="F35" s="49">
        <v>0</v>
      </c>
      <c r="G35" s="20"/>
    </row>
    <row r="36" spans="1:9" ht="25" x14ac:dyDescent="0.3">
      <c r="A36" s="8" t="s">
        <v>123</v>
      </c>
      <c r="B36" s="12" t="s">
        <v>124</v>
      </c>
      <c r="C36" s="9" t="s">
        <v>125</v>
      </c>
      <c r="D36" s="10" t="s">
        <v>204</v>
      </c>
      <c r="E36" s="10" t="s">
        <v>126</v>
      </c>
      <c r="F36" s="49">
        <v>0</v>
      </c>
      <c r="G36" s="20"/>
    </row>
    <row r="37" spans="1:9" ht="25" x14ac:dyDescent="0.3">
      <c r="A37" s="8" t="s">
        <v>127</v>
      </c>
      <c r="B37" s="12" t="s">
        <v>128</v>
      </c>
      <c r="C37" s="9" t="s">
        <v>121</v>
      </c>
      <c r="D37" s="10" t="s">
        <v>204</v>
      </c>
      <c r="E37" s="10" t="s">
        <v>195</v>
      </c>
      <c r="F37" s="49">
        <v>0</v>
      </c>
      <c r="G37" s="20"/>
    </row>
    <row r="38" spans="1:9" ht="25" x14ac:dyDescent="0.3">
      <c r="A38" s="8" t="s">
        <v>129</v>
      </c>
      <c r="B38" s="12" t="s">
        <v>130</v>
      </c>
      <c r="C38" s="9" t="s">
        <v>131</v>
      </c>
      <c r="D38" s="10" t="s">
        <v>214</v>
      </c>
      <c r="E38" s="10" t="s">
        <v>133</v>
      </c>
      <c r="F38" s="49">
        <v>0</v>
      </c>
      <c r="G38" s="20"/>
    </row>
    <row r="39" spans="1:9" ht="25" x14ac:dyDescent="0.3">
      <c r="A39" s="8" t="s">
        <v>134</v>
      </c>
      <c r="B39" s="12" t="s">
        <v>135</v>
      </c>
      <c r="C39" s="9" t="s">
        <v>131</v>
      </c>
      <c r="D39" s="10" t="s">
        <v>214</v>
      </c>
      <c r="E39" s="10" t="s">
        <v>133</v>
      </c>
      <c r="F39" s="49">
        <v>0</v>
      </c>
      <c r="G39" s="20"/>
    </row>
    <row r="40" spans="1:9" ht="37.5" x14ac:dyDescent="0.3">
      <c r="A40" s="8" t="s">
        <v>136</v>
      </c>
      <c r="B40" s="12" t="s">
        <v>137</v>
      </c>
      <c r="C40" s="9" t="s">
        <v>212</v>
      </c>
      <c r="D40" s="10" t="s">
        <v>214</v>
      </c>
      <c r="E40" s="10" t="s">
        <v>133</v>
      </c>
      <c r="F40" s="49">
        <v>0</v>
      </c>
      <c r="G40" s="20"/>
    </row>
    <row r="41" spans="1:9" ht="25" x14ac:dyDescent="0.3">
      <c r="A41" s="8" t="s">
        <v>138</v>
      </c>
      <c r="B41" s="12" t="s">
        <v>139</v>
      </c>
      <c r="C41" s="9" t="s">
        <v>140</v>
      </c>
      <c r="D41" s="10" t="s">
        <v>141</v>
      </c>
      <c r="E41" s="9" t="s">
        <v>195</v>
      </c>
      <c r="F41" s="49">
        <v>0</v>
      </c>
      <c r="G41" s="20"/>
    </row>
    <row r="42" spans="1:9" ht="25" x14ac:dyDescent="0.3">
      <c r="A42" s="8" t="s">
        <v>142</v>
      </c>
      <c r="B42" s="12" t="s">
        <v>143</v>
      </c>
      <c r="C42" s="9" t="s">
        <v>144</v>
      </c>
      <c r="D42" s="10" t="s">
        <v>141</v>
      </c>
      <c r="E42" s="9" t="s">
        <v>195</v>
      </c>
      <c r="F42" s="49">
        <v>0</v>
      </c>
      <c r="G42" s="20"/>
      <c r="I42" s="36"/>
    </row>
    <row r="43" spans="1:9" ht="25" x14ac:dyDescent="0.3">
      <c r="A43" s="8" t="s">
        <v>145</v>
      </c>
      <c r="B43" s="12" t="s">
        <v>217</v>
      </c>
      <c r="C43" s="9" t="s">
        <v>220</v>
      </c>
      <c r="D43" s="10" t="s">
        <v>215</v>
      </c>
      <c r="E43" s="9" t="s">
        <v>195</v>
      </c>
      <c r="F43" s="49">
        <v>0</v>
      </c>
      <c r="G43" s="20"/>
    </row>
    <row r="44" spans="1:9" ht="37.5" x14ac:dyDescent="0.3">
      <c r="A44" s="8" t="s">
        <v>147</v>
      </c>
      <c r="B44" s="12" t="s">
        <v>218</v>
      </c>
      <c r="C44" s="9" t="s">
        <v>216</v>
      </c>
      <c r="D44" s="10" t="s">
        <v>215</v>
      </c>
      <c r="E44" s="9" t="s">
        <v>148</v>
      </c>
      <c r="F44" s="49">
        <v>0</v>
      </c>
      <c r="G44" s="20"/>
    </row>
    <row r="45" spans="1:9" ht="15.5" x14ac:dyDescent="0.3">
      <c r="A45" s="8" t="s">
        <v>149</v>
      </c>
      <c r="B45" s="14" t="s">
        <v>150</v>
      </c>
      <c r="C45" s="9" t="s">
        <v>151</v>
      </c>
      <c r="D45" s="10" t="s">
        <v>215</v>
      </c>
      <c r="E45" s="9" t="s">
        <v>148</v>
      </c>
      <c r="F45" s="49">
        <v>0</v>
      </c>
      <c r="G45" s="20"/>
    </row>
    <row r="46" spans="1:9" ht="30" customHeight="1" x14ac:dyDescent="0.3">
      <c r="A46" s="130" t="s">
        <v>152</v>
      </c>
      <c r="B46" s="131"/>
      <c r="C46" s="131"/>
      <c r="D46" s="131"/>
      <c r="E46" s="132"/>
      <c r="F46" s="51">
        <f>SUM(F17:F45)</f>
        <v>0</v>
      </c>
      <c r="G46" s="20"/>
    </row>
    <row r="47" spans="1:9" ht="15" customHeight="1" x14ac:dyDescent="0.3">
      <c r="G47" s="20"/>
    </row>
  </sheetData>
  <mergeCells count="9">
    <mergeCell ref="A7:F7"/>
    <mergeCell ref="B8:F8"/>
    <mergeCell ref="B9:F9"/>
    <mergeCell ref="B10:F10"/>
    <mergeCell ref="A46:E46"/>
    <mergeCell ref="B12:F12"/>
    <mergeCell ref="B13:F13"/>
    <mergeCell ref="B11:F11"/>
    <mergeCell ref="A15:F15"/>
  </mergeCells>
  <phoneticPr fontId="5" type="noConversion"/>
  <conditionalFormatting sqref="B18:B45">
    <cfRule type="cellIs" dxfId="0" priority="1" operator="equal">
      <formula>"HHSC"</formula>
    </cfRule>
  </conditionalFormatting>
  <hyperlinks>
    <hyperlink ref="A1" location="'1. TOC &amp; Instructions'!A1" display="Link: TOC &amp; Instructions" xr:uid="{EB9C2882-2606-4943-88DE-753C5FA75170}"/>
  </hyperlinks>
  <pageMargins left="0.25" right="0.25" top="0.75" bottom="0.75" header="0.3" footer="0.3"/>
  <pageSetup scale="61" fitToHeight="0" orientation="portrait" r:id="rId1"/>
  <headerFooter>
    <oddHeader>&amp;C&amp;A</oddHeader>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23192-CD37-4132-8A54-EEF3F234E4B7}">
  <sheetPr>
    <pageSetUpPr fitToPage="1"/>
  </sheetPr>
  <dimension ref="A1:F19"/>
  <sheetViews>
    <sheetView showGridLines="0" topLeftCell="A3" zoomScaleNormal="100" workbookViewId="0">
      <selection activeCell="F19" sqref="F19"/>
    </sheetView>
  </sheetViews>
  <sheetFormatPr defaultColWidth="9.1796875" defaultRowHeight="14" x14ac:dyDescent="0.3"/>
  <cols>
    <col min="1" max="1" width="14" style="6" customWidth="1"/>
    <col min="2" max="2" width="17.81640625" style="6" customWidth="1"/>
    <col min="3" max="3" width="24.81640625" style="6" customWidth="1"/>
    <col min="4" max="4" width="26.1796875" style="6" customWidth="1"/>
    <col min="5" max="5" width="36.54296875" style="36" customWidth="1"/>
    <col min="6" max="6" width="34.1796875" style="6" customWidth="1"/>
    <col min="7" max="7" width="21.54296875" style="6" customWidth="1"/>
    <col min="8" max="48" width="9.1796875" style="6" bestFit="1"/>
    <col min="49" max="16384" width="9.1796875" style="6"/>
  </cols>
  <sheetData>
    <row r="1" spans="1:6" s="20" customFormat="1" ht="26.15" customHeight="1" x14ac:dyDescent="0.4">
      <c r="A1" s="15" t="s">
        <v>48</v>
      </c>
      <c r="B1" s="27"/>
      <c r="C1" s="27"/>
      <c r="D1" s="16" t="str">
        <f>'0. Cover Sheet'!B5</f>
        <v>EXHIBIT J.6 - Cost Workbook</v>
      </c>
      <c r="E1" s="16"/>
      <c r="F1" s="16"/>
    </row>
    <row r="2" spans="1:6" s="20" customFormat="1" ht="15" customHeight="1" x14ac:dyDescent="0.4">
      <c r="A2" s="28"/>
      <c r="B2" s="28"/>
      <c r="C2" s="28"/>
      <c r="D2" s="18"/>
      <c r="E2" s="16"/>
      <c r="F2" s="16"/>
    </row>
    <row r="3" spans="1:6" s="20" customFormat="1" ht="15.5" x14ac:dyDescent="0.3">
      <c r="A3" s="37" t="s">
        <v>1</v>
      </c>
      <c r="B3" s="37"/>
      <c r="C3" s="37"/>
      <c r="D3" s="53" t="str">
        <f>'0. Cover Sheet'!B7</f>
        <v>696-IT-25-O053</v>
      </c>
      <c r="E3" s="40"/>
    </row>
    <row r="4" spans="1:6" s="20" customFormat="1" ht="15" customHeight="1" x14ac:dyDescent="0.3">
      <c r="A4" s="37" t="s">
        <v>3</v>
      </c>
      <c r="B4" s="37"/>
      <c r="C4" s="37"/>
      <c r="D4" s="53" t="str">
        <f>'0. Cover Sheet'!B8</f>
        <v>Texas Department of Criminal Justice Corrections Information Technology System 2.0 (CITS 2.0)</v>
      </c>
      <c r="E4" s="40"/>
      <c r="F4" s="23"/>
    </row>
    <row r="5" spans="1:6" s="20" customFormat="1" ht="15" customHeight="1" x14ac:dyDescent="0.3">
      <c r="A5" s="37" t="s">
        <v>5</v>
      </c>
      <c r="B5" s="37"/>
      <c r="C5" s="37"/>
      <c r="D5" s="54" t="str">
        <f>'0. Cover Sheet'!B9</f>
        <v>Respondent Name</v>
      </c>
      <c r="E5" s="55"/>
      <c r="F5" s="41"/>
    </row>
    <row r="6" spans="1:6" ht="15" customHeight="1" x14ac:dyDescent="0.3">
      <c r="A6" s="88"/>
      <c r="B6" s="88"/>
      <c r="C6" s="88"/>
      <c r="D6" s="42"/>
      <c r="E6" s="42"/>
      <c r="F6" s="25"/>
    </row>
    <row r="7" spans="1:6" ht="15" customHeight="1" x14ac:dyDescent="0.3">
      <c r="A7" s="120" t="s">
        <v>61</v>
      </c>
      <c r="B7" s="120"/>
      <c r="C7" s="120"/>
      <c r="D7" s="120"/>
      <c r="E7" s="120"/>
      <c r="F7" s="120"/>
    </row>
    <row r="8" spans="1:6" ht="48" customHeight="1" x14ac:dyDescent="0.3">
      <c r="A8" s="43">
        <v>1</v>
      </c>
      <c r="B8" s="138" t="s">
        <v>153</v>
      </c>
      <c r="C8" s="138"/>
      <c r="D8" s="138"/>
      <c r="E8" s="138"/>
      <c r="F8" s="138"/>
    </row>
    <row r="9" spans="1:6" ht="36.65" customHeight="1" x14ac:dyDescent="0.3">
      <c r="A9" s="43">
        <v>2</v>
      </c>
      <c r="B9" s="137" t="s">
        <v>154</v>
      </c>
      <c r="C9" s="137"/>
      <c r="D9" s="137"/>
      <c r="E9" s="137"/>
      <c r="F9" s="137"/>
    </row>
    <row r="10" spans="1:6" ht="35.25" customHeight="1" x14ac:dyDescent="0.3">
      <c r="A10" s="43">
        <v>3</v>
      </c>
      <c r="B10" s="139" t="s">
        <v>155</v>
      </c>
      <c r="C10" s="139"/>
      <c r="D10" s="139"/>
      <c r="E10" s="139"/>
      <c r="F10" s="139"/>
    </row>
    <row r="11" spans="1:6" ht="102.75" customHeight="1" x14ac:dyDescent="0.3">
      <c r="A11" s="43">
        <v>4</v>
      </c>
      <c r="B11" s="143" t="s">
        <v>156</v>
      </c>
      <c r="C11" s="143"/>
      <c r="D11" s="143"/>
      <c r="E11" s="143"/>
      <c r="F11" s="143"/>
    </row>
    <row r="12" spans="1:6" ht="84" customHeight="1" x14ac:dyDescent="0.3">
      <c r="A12" s="43">
        <v>5</v>
      </c>
      <c r="B12" s="143" t="s">
        <v>157</v>
      </c>
      <c r="C12" s="143"/>
      <c r="D12" s="143"/>
      <c r="E12" s="143"/>
      <c r="F12" s="143"/>
    </row>
    <row r="13" spans="1:6" ht="15" customHeight="1" x14ac:dyDescent="0.3">
      <c r="A13" s="44"/>
      <c r="B13" s="45"/>
      <c r="C13" s="45"/>
      <c r="D13" s="45"/>
      <c r="E13" s="45"/>
      <c r="F13" s="45"/>
    </row>
    <row r="14" spans="1:6" s="38" customFormat="1" ht="15" customHeight="1" x14ac:dyDescent="0.35">
      <c r="A14" s="140" t="s">
        <v>158</v>
      </c>
      <c r="B14" s="141"/>
      <c r="C14" s="141"/>
      <c r="D14" s="141"/>
      <c r="E14" s="142"/>
    </row>
    <row r="15" spans="1:6" ht="45" customHeight="1" x14ac:dyDescent="0.3">
      <c r="A15" s="56" t="s">
        <v>159</v>
      </c>
      <c r="B15" s="91" t="s">
        <v>160</v>
      </c>
      <c r="C15" s="73" t="s">
        <v>161</v>
      </c>
      <c r="D15" s="57" t="s">
        <v>162</v>
      </c>
      <c r="E15" s="91" t="s">
        <v>163</v>
      </c>
    </row>
    <row r="16" spans="1:6" ht="45" customHeight="1" x14ac:dyDescent="0.3">
      <c r="A16" s="58" t="s">
        <v>164</v>
      </c>
      <c r="B16" s="62">
        <v>0</v>
      </c>
      <c r="C16" s="62">
        <v>20000</v>
      </c>
      <c r="D16" s="59">
        <v>0</v>
      </c>
      <c r="E16" s="51">
        <f>B16*C16*D16</f>
        <v>0</v>
      </c>
    </row>
    <row r="17" spans="1:5" ht="45" customHeight="1" x14ac:dyDescent="0.3">
      <c r="A17" s="58" t="s">
        <v>165</v>
      </c>
      <c r="B17" s="62">
        <v>0</v>
      </c>
      <c r="C17" s="62">
        <v>20000</v>
      </c>
      <c r="D17" s="59">
        <v>0</v>
      </c>
      <c r="E17" s="51">
        <f t="shared" ref="E17:E19" si="0">B17*C17*D17</f>
        <v>0</v>
      </c>
    </row>
    <row r="18" spans="1:5" ht="45" customHeight="1" x14ac:dyDescent="0.3">
      <c r="A18" s="58" t="s">
        <v>166</v>
      </c>
      <c r="B18" s="62">
        <v>0</v>
      </c>
      <c r="C18" s="62">
        <v>20000</v>
      </c>
      <c r="D18" s="59">
        <v>0</v>
      </c>
      <c r="E18" s="51">
        <f t="shared" si="0"/>
        <v>0</v>
      </c>
    </row>
    <row r="19" spans="1:5" ht="45" customHeight="1" x14ac:dyDescent="0.3">
      <c r="A19" s="58" t="s">
        <v>167</v>
      </c>
      <c r="B19" s="62">
        <v>0</v>
      </c>
      <c r="C19" s="62">
        <v>20000</v>
      </c>
      <c r="D19" s="59">
        <v>0</v>
      </c>
      <c r="E19" s="51">
        <f t="shared" si="0"/>
        <v>0</v>
      </c>
    </row>
  </sheetData>
  <mergeCells count="7">
    <mergeCell ref="A7:F7"/>
    <mergeCell ref="B9:F9"/>
    <mergeCell ref="B8:F8"/>
    <mergeCell ref="B10:F10"/>
    <mergeCell ref="A14:E14"/>
    <mergeCell ref="B11:F11"/>
    <mergeCell ref="B12:F12"/>
  </mergeCells>
  <phoneticPr fontId="14" type="noConversion"/>
  <hyperlinks>
    <hyperlink ref="A1" location="'1. TOC &amp; Instructions'!A1" display="Link: TOC &amp; Instructions" xr:uid="{0F190C33-36CC-4EC9-B133-0A8126949C3B}"/>
  </hyperlinks>
  <pageMargins left="0.25" right="0.25" top="0.75" bottom="0.75" header="0.3" footer="0.3"/>
  <pageSetup scale="59" fitToHeight="0" orientation="portrait" r:id="rId1"/>
  <headerFooter>
    <oddHeader>&amp;C&amp;A</oddHeader>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2C768-9E6B-4BB5-A2E1-150685FF3983}">
  <sheetPr>
    <pageSetUpPr fitToPage="1"/>
  </sheetPr>
  <dimension ref="A1:G21"/>
  <sheetViews>
    <sheetView showGridLines="0" topLeftCell="A7" zoomScaleNormal="100" workbookViewId="0">
      <selection activeCell="F24" sqref="F24"/>
    </sheetView>
  </sheetViews>
  <sheetFormatPr defaultColWidth="9.1796875" defaultRowHeight="14" x14ac:dyDescent="0.3"/>
  <cols>
    <col min="1" max="1" width="14" style="6" customWidth="1"/>
    <col min="2" max="4" width="20.54296875" style="6" customWidth="1"/>
    <col min="5" max="5" width="23.453125" style="36" customWidth="1"/>
    <col min="6" max="6" width="22.26953125" style="6" customWidth="1"/>
    <col min="7" max="7" width="30.54296875" style="6" customWidth="1"/>
    <col min="8" max="8" width="41.54296875" style="6" customWidth="1"/>
    <col min="9" max="16384" width="9.1796875" style="6"/>
  </cols>
  <sheetData>
    <row r="1" spans="1:7" s="20" customFormat="1" ht="45" customHeight="1" x14ac:dyDescent="0.4">
      <c r="A1" s="15" t="s">
        <v>48</v>
      </c>
      <c r="B1" s="27"/>
      <c r="C1" s="16" t="str">
        <f>'0. Cover Sheet'!B5</f>
        <v>EXHIBIT J.6 - Cost Workbook</v>
      </c>
      <c r="D1" s="16"/>
      <c r="E1" s="16"/>
      <c r="F1" s="16"/>
      <c r="G1" s="16"/>
    </row>
    <row r="2" spans="1:7" s="20" customFormat="1" ht="15" customHeight="1" x14ac:dyDescent="0.4">
      <c r="A2" s="28"/>
      <c r="B2" s="28"/>
      <c r="C2" s="18"/>
      <c r="D2" s="18"/>
      <c r="E2" s="16"/>
      <c r="F2" s="16"/>
      <c r="G2" s="16"/>
    </row>
    <row r="3" spans="1:7" s="20" customFormat="1" ht="15" customHeight="1" x14ac:dyDescent="0.3">
      <c r="A3" s="37" t="s">
        <v>1</v>
      </c>
      <c r="B3" s="37"/>
      <c r="C3" s="21" t="str">
        <f>'0. Cover Sheet'!B7</f>
        <v>696-IT-25-O053</v>
      </c>
      <c r="D3" s="21"/>
      <c r="E3" s="40"/>
    </row>
    <row r="4" spans="1:7" s="20" customFormat="1" ht="15" customHeight="1" x14ac:dyDescent="0.3">
      <c r="A4" s="37" t="s">
        <v>3</v>
      </c>
      <c r="B4" s="37"/>
      <c r="C4" s="37" t="str">
        <f>'0. Cover Sheet'!B8</f>
        <v>Texas Department of Criminal Justice Corrections Information Technology System 2.0 (CITS 2.0)</v>
      </c>
      <c r="D4" s="37"/>
      <c r="E4" s="40"/>
      <c r="F4" s="23"/>
    </row>
    <row r="5" spans="1:7" s="20" customFormat="1" ht="15" customHeight="1" x14ac:dyDescent="0.3">
      <c r="A5" s="37" t="s">
        <v>5</v>
      </c>
      <c r="B5" s="37"/>
      <c r="C5" s="29" t="str">
        <f>'0. Cover Sheet'!B9</f>
        <v>Respondent Name</v>
      </c>
      <c r="D5" s="29"/>
      <c r="E5" s="25"/>
      <c r="F5" s="41"/>
    </row>
    <row r="6" spans="1:7" ht="15" customHeight="1" x14ac:dyDescent="0.3">
      <c r="A6" s="88"/>
      <c r="B6" s="88"/>
      <c r="C6" s="42"/>
      <c r="D6" s="42"/>
      <c r="E6" s="42"/>
      <c r="F6" s="25"/>
    </row>
    <row r="7" spans="1:7" ht="15" customHeight="1" x14ac:dyDescent="0.3">
      <c r="A7" s="120" t="s">
        <v>61</v>
      </c>
      <c r="B7" s="120"/>
      <c r="C7" s="120"/>
      <c r="D7" s="120"/>
      <c r="E7" s="120"/>
      <c r="F7" s="120"/>
      <c r="G7" s="120"/>
    </row>
    <row r="8" spans="1:7" ht="35.15" customHeight="1" x14ac:dyDescent="0.3">
      <c r="A8" s="43">
        <v>1</v>
      </c>
      <c r="B8" s="139" t="s">
        <v>168</v>
      </c>
      <c r="C8" s="139"/>
      <c r="D8" s="139"/>
      <c r="E8" s="139"/>
      <c r="F8" s="139"/>
      <c r="G8" s="139"/>
    </row>
    <row r="9" spans="1:7" ht="35.15" customHeight="1" x14ac:dyDescent="0.3">
      <c r="A9" s="43">
        <v>2</v>
      </c>
      <c r="B9" s="121" t="s">
        <v>169</v>
      </c>
      <c r="C9" s="122"/>
      <c r="D9" s="122"/>
      <c r="E9" s="122"/>
      <c r="F9" s="122"/>
      <c r="G9" s="123"/>
    </row>
    <row r="10" spans="1:7" ht="30" customHeight="1" x14ac:dyDescent="0.3">
      <c r="A10" s="43">
        <v>3</v>
      </c>
      <c r="B10" s="138" t="s">
        <v>170</v>
      </c>
      <c r="C10" s="138"/>
      <c r="D10" s="138"/>
      <c r="E10" s="138"/>
      <c r="F10" s="138"/>
      <c r="G10" s="138"/>
    </row>
    <row r="11" spans="1:7" ht="28.5" customHeight="1" x14ac:dyDescent="0.3">
      <c r="A11" s="43">
        <v>4</v>
      </c>
      <c r="B11" s="137" t="s">
        <v>64</v>
      </c>
      <c r="C11" s="137"/>
      <c r="D11" s="137"/>
      <c r="E11" s="137"/>
      <c r="F11" s="137"/>
      <c r="G11" s="137"/>
    </row>
    <row r="12" spans="1:7" ht="114.75" customHeight="1" x14ac:dyDescent="0.3">
      <c r="A12" s="39">
        <v>5</v>
      </c>
      <c r="B12" s="143" t="s">
        <v>171</v>
      </c>
      <c r="C12" s="143"/>
      <c r="D12" s="143"/>
      <c r="E12" s="143"/>
      <c r="F12" s="143"/>
      <c r="G12" s="143"/>
    </row>
    <row r="13" spans="1:7" s="20" customFormat="1" ht="15" customHeight="1" x14ac:dyDescent="0.3">
      <c r="E13" s="60"/>
    </row>
    <row r="14" spans="1:7" s="38" customFormat="1" ht="15" customHeight="1" x14ac:dyDescent="0.35">
      <c r="A14" s="136" t="s">
        <v>172</v>
      </c>
      <c r="B14" s="136"/>
      <c r="C14" s="136"/>
      <c r="D14" s="136"/>
      <c r="E14" s="136"/>
      <c r="F14" s="136"/>
      <c r="G14" s="136"/>
    </row>
    <row r="15" spans="1:7" ht="46.5" x14ac:dyDescent="0.3">
      <c r="A15" s="61" t="s">
        <v>159</v>
      </c>
      <c r="B15" s="91" t="s">
        <v>13</v>
      </c>
      <c r="C15" s="91" t="s">
        <v>160</v>
      </c>
      <c r="D15" s="91" t="s">
        <v>173</v>
      </c>
      <c r="E15" s="145" t="s">
        <v>174</v>
      </c>
      <c r="F15" s="145"/>
      <c r="G15" s="91" t="s">
        <v>163</v>
      </c>
    </row>
    <row r="16" spans="1:7" ht="31" x14ac:dyDescent="0.3">
      <c r="A16" s="58" t="s">
        <v>164</v>
      </c>
      <c r="B16" s="62" t="s">
        <v>172</v>
      </c>
      <c r="C16" s="62">
        <v>0</v>
      </c>
      <c r="D16" s="63" t="s">
        <v>175</v>
      </c>
      <c r="E16" s="59">
        <v>0</v>
      </c>
      <c r="F16" s="62" t="s">
        <v>176</v>
      </c>
      <c r="G16" s="64">
        <f t="shared" ref="G16:G18" si="0">C16*E16</f>
        <v>0</v>
      </c>
    </row>
    <row r="17" spans="1:7" ht="31" x14ac:dyDescent="0.3">
      <c r="A17" s="58" t="s">
        <v>165</v>
      </c>
      <c r="B17" s="62" t="s">
        <v>172</v>
      </c>
      <c r="C17" s="62">
        <v>0</v>
      </c>
      <c r="D17" s="63" t="s">
        <v>175</v>
      </c>
      <c r="E17" s="59">
        <v>0</v>
      </c>
      <c r="F17" s="62" t="s">
        <v>176</v>
      </c>
      <c r="G17" s="64">
        <f t="shared" si="0"/>
        <v>0</v>
      </c>
    </row>
    <row r="18" spans="1:7" ht="31" x14ac:dyDescent="0.3">
      <c r="A18" s="58" t="s">
        <v>166</v>
      </c>
      <c r="B18" s="62" t="s">
        <v>172</v>
      </c>
      <c r="C18" s="62">
        <v>0</v>
      </c>
      <c r="D18" s="63" t="s">
        <v>175</v>
      </c>
      <c r="E18" s="59">
        <v>0</v>
      </c>
      <c r="F18" s="62" t="s">
        <v>176</v>
      </c>
      <c r="G18" s="64">
        <f t="shared" si="0"/>
        <v>0</v>
      </c>
    </row>
    <row r="19" spans="1:7" ht="31" x14ac:dyDescent="0.3">
      <c r="A19" s="58" t="s">
        <v>167</v>
      </c>
      <c r="B19" s="62" t="s">
        <v>172</v>
      </c>
      <c r="C19" s="62">
        <v>0</v>
      </c>
      <c r="D19" s="63" t="s">
        <v>175</v>
      </c>
      <c r="E19" s="59">
        <v>0</v>
      </c>
      <c r="F19" s="62" t="s">
        <v>176</v>
      </c>
      <c r="G19" s="64">
        <f>C19*E19</f>
        <v>0</v>
      </c>
    </row>
    <row r="20" spans="1:7" ht="15.5" x14ac:dyDescent="0.3">
      <c r="A20" s="144" t="s">
        <v>177</v>
      </c>
      <c r="B20" s="144"/>
      <c r="C20" s="144"/>
      <c r="D20" s="144"/>
      <c r="E20" s="144"/>
      <c r="F20" s="144"/>
      <c r="G20" s="51">
        <f>SUM(G16:G19)</f>
        <v>0</v>
      </c>
    </row>
    <row r="21" spans="1:7" x14ac:dyDescent="0.3">
      <c r="A21" s="65"/>
      <c r="B21" s="65"/>
      <c r="C21" s="65"/>
      <c r="D21" s="65"/>
      <c r="E21" s="66"/>
    </row>
  </sheetData>
  <mergeCells count="9">
    <mergeCell ref="A7:G7"/>
    <mergeCell ref="B10:G10"/>
    <mergeCell ref="A20:F20"/>
    <mergeCell ref="B11:G11"/>
    <mergeCell ref="B8:G8"/>
    <mergeCell ref="A14:G14"/>
    <mergeCell ref="E15:F15"/>
    <mergeCell ref="B12:G12"/>
    <mergeCell ref="B9:G9"/>
  </mergeCells>
  <phoneticPr fontId="14" type="noConversion"/>
  <hyperlinks>
    <hyperlink ref="A1" location="'1. TOC &amp; Instructions'!A1" display="Link: TOC &amp; Instructions" xr:uid="{34614C95-E528-4B55-83E9-52C2649B4011}"/>
  </hyperlinks>
  <pageMargins left="0.25" right="0.25" top="0.75" bottom="0.75" header="0.3" footer="0.3"/>
  <pageSetup scale="56" orientation="landscape" r:id="rId1"/>
  <headerFooter>
    <oddHeader>&amp;C&amp;A</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8091-FE3B-43D3-BAC4-76FA3C0CF229}">
  <sheetPr>
    <pageSetUpPr fitToPage="1"/>
  </sheetPr>
  <dimension ref="A1:E89"/>
  <sheetViews>
    <sheetView showGridLines="0" topLeftCell="A5" zoomScale="85" zoomScaleNormal="85" workbookViewId="0">
      <selection activeCell="B10" sqref="B10:E10"/>
    </sheetView>
  </sheetViews>
  <sheetFormatPr defaultColWidth="9.1796875" defaultRowHeight="14" x14ac:dyDescent="0.3"/>
  <cols>
    <col min="1" max="1" width="10.81640625" style="6" customWidth="1"/>
    <col min="2" max="2" width="33.26953125" style="6" customWidth="1"/>
    <col min="3" max="4" width="30.54296875" style="6" customWidth="1"/>
    <col min="5" max="5" width="50.54296875" style="36" customWidth="1"/>
    <col min="6" max="16384" width="9.1796875" style="6"/>
  </cols>
  <sheetData>
    <row r="1" spans="1:5" s="20" customFormat="1" ht="27.65" customHeight="1" x14ac:dyDescent="0.4">
      <c r="A1" s="71" t="s">
        <v>48</v>
      </c>
      <c r="B1" s="27"/>
      <c r="C1" s="16" t="str">
        <f>'0. Cover Sheet'!B5</f>
        <v>EXHIBIT J.6 - Cost Workbook</v>
      </c>
      <c r="E1" s="16"/>
    </row>
    <row r="2" spans="1:5" s="20" customFormat="1" ht="15" customHeight="1" x14ac:dyDescent="0.4">
      <c r="A2" s="28"/>
      <c r="B2" s="28"/>
      <c r="D2" s="18"/>
      <c r="E2" s="16"/>
    </row>
    <row r="3" spans="1:5" s="20" customFormat="1" ht="15" customHeight="1" x14ac:dyDescent="0.3">
      <c r="A3" s="37" t="s">
        <v>1</v>
      </c>
      <c r="B3" s="37"/>
      <c r="C3" s="21" t="str">
        <f>'0. Cover Sheet'!B7</f>
        <v>696-IT-25-O053</v>
      </c>
      <c r="E3" s="40"/>
    </row>
    <row r="4" spans="1:5" s="20" customFormat="1" ht="15" customHeight="1" x14ac:dyDescent="0.3">
      <c r="A4" s="37" t="s">
        <v>3</v>
      </c>
      <c r="B4" s="37"/>
      <c r="C4" s="37" t="str">
        <f>'0. Cover Sheet'!B8</f>
        <v>Texas Department of Criminal Justice Corrections Information Technology System 2.0 (CITS 2.0)</v>
      </c>
      <c r="E4" s="40"/>
    </row>
    <row r="5" spans="1:5" s="20" customFormat="1" ht="15" customHeight="1" x14ac:dyDescent="0.3">
      <c r="A5" s="37" t="s">
        <v>5</v>
      </c>
      <c r="B5" s="37"/>
      <c r="C5" s="29" t="str">
        <f>'0. Cover Sheet'!B9</f>
        <v>Respondent Name</v>
      </c>
      <c r="E5" s="25"/>
    </row>
    <row r="6" spans="1:5" ht="15" customHeight="1" x14ac:dyDescent="0.3">
      <c r="A6" s="88"/>
      <c r="B6" s="88"/>
      <c r="C6" s="88"/>
      <c r="D6" s="42"/>
      <c r="E6" s="42"/>
    </row>
    <row r="7" spans="1:5" ht="14.5" customHeight="1" x14ac:dyDescent="0.3">
      <c r="A7" s="120" t="s">
        <v>61</v>
      </c>
      <c r="B7" s="120"/>
      <c r="C7" s="120"/>
      <c r="D7" s="120"/>
      <c r="E7" s="120"/>
    </row>
    <row r="8" spans="1:5" ht="30" customHeight="1" x14ac:dyDescent="0.3">
      <c r="A8" s="43">
        <v>1</v>
      </c>
      <c r="B8" s="139" t="s">
        <v>178</v>
      </c>
      <c r="C8" s="139"/>
      <c r="D8" s="139"/>
      <c r="E8" s="139"/>
    </row>
    <row r="9" spans="1:5" ht="34" customHeight="1" x14ac:dyDescent="0.3">
      <c r="A9" s="43">
        <v>2</v>
      </c>
      <c r="B9" s="153" t="s">
        <v>205</v>
      </c>
      <c r="C9" s="139"/>
      <c r="D9" s="139"/>
      <c r="E9" s="139"/>
    </row>
    <row r="10" spans="1:5" ht="34" customHeight="1" x14ac:dyDescent="0.3">
      <c r="A10" s="43">
        <v>3</v>
      </c>
      <c r="B10" s="154" t="s">
        <v>222</v>
      </c>
      <c r="C10" s="139"/>
      <c r="D10" s="139"/>
      <c r="E10" s="139"/>
    </row>
    <row r="11" spans="1:5" ht="15" customHeight="1" x14ac:dyDescent="0.3">
      <c r="A11" s="67"/>
      <c r="B11" s="68"/>
      <c r="C11" s="68"/>
      <c r="D11" s="68"/>
      <c r="E11" s="68"/>
    </row>
    <row r="12" spans="1:5" ht="15" customHeight="1" x14ac:dyDescent="0.3">
      <c r="A12" s="69"/>
      <c r="B12" s="136" t="s">
        <v>179</v>
      </c>
      <c r="C12" s="136"/>
      <c r="D12" s="136"/>
      <c r="E12" s="136"/>
    </row>
    <row r="13" spans="1:5" ht="15.5" x14ac:dyDescent="0.35">
      <c r="A13" s="70">
        <v>1</v>
      </c>
      <c r="B13" s="146"/>
      <c r="C13" s="147"/>
      <c r="D13" s="147"/>
      <c r="E13" s="148"/>
    </row>
    <row r="14" spans="1:5" ht="15.5" x14ac:dyDescent="0.35">
      <c r="A14" s="70">
        <v>2</v>
      </c>
      <c r="B14" s="146"/>
      <c r="C14" s="147"/>
      <c r="D14" s="147"/>
      <c r="E14" s="148"/>
    </row>
    <row r="15" spans="1:5" ht="15.5" x14ac:dyDescent="0.35">
      <c r="A15" s="70">
        <v>3</v>
      </c>
      <c r="B15" s="146"/>
      <c r="C15" s="147"/>
      <c r="D15" s="147"/>
      <c r="E15" s="148"/>
    </row>
    <row r="16" spans="1:5" ht="15.5" x14ac:dyDescent="0.35">
      <c r="A16" s="70">
        <v>4</v>
      </c>
      <c r="B16" s="146"/>
      <c r="C16" s="147"/>
      <c r="D16" s="147"/>
      <c r="E16" s="148"/>
    </row>
    <row r="17" spans="1:5" ht="15.5" x14ac:dyDescent="0.35">
      <c r="A17" s="70">
        <v>5</v>
      </c>
      <c r="B17" s="146"/>
      <c r="C17" s="147"/>
      <c r="D17" s="147"/>
      <c r="E17" s="148"/>
    </row>
    <row r="18" spans="1:5" ht="15.5" x14ac:dyDescent="0.35">
      <c r="A18" s="70">
        <v>6</v>
      </c>
      <c r="B18" s="146"/>
      <c r="C18" s="147"/>
      <c r="D18" s="147"/>
      <c r="E18" s="148"/>
    </row>
    <row r="19" spans="1:5" ht="15.5" x14ac:dyDescent="0.35">
      <c r="A19" s="70">
        <v>7</v>
      </c>
      <c r="B19" s="146"/>
      <c r="C19" s="147"/>
      <c r="D19" s="147"/>
      <c r="E19" s="148"/>
    </row>
    <row r="20" spans="1:5" ht="15.5" x14ac:dyDescent="0.35">
      <c r="A20" s="70">
        <v>8</v>
      </c>
      <c r="B20" s="146"/>
      <c r="C20" s="147"/>
      <c r="D20" s="147"/>
      <c r="E20" s="148"/>
    </row>
    <row r="21" spans="1:5" ht="15.5" x14ac:dyDescent="0.35">
      <c r="A21" s="70">
        <v>9</v>
      </c>
      <c r="B21" s="146"/>
      <c r="C21" s="147"/>
      <c r="D21" s="147"/>
      <c r="E21" s="148"/>
    </row>
    <row r="22" spans="1:5" ht="15.5" x14ac:dyDescent="0.35">
      <c r="A22" s="70">
        <v>10</v>
      </c>
      <c r="B22" s="146"/>
      <c r="C22" s="147"/>
      <c r="D22" s="147"/>
      <c r="E22" s="148"/>
    </row>
    <row r="23" spans="1:5" ht="15.5" x14ac:dyDescent="0.35">
      <c r="A23" s="70">
        <v>11</v>
      </c>
      <c r="B23" s="146"/>
      <c r="C23" s="147"/>
      <c r="D23" s="147"/>
      <c r="E23" s="148"/>
    </row>
    <row r="24" spans="1:5" ht="15.5" x14ac:dyDescent="0.35">
      <c r="A24" s="70">
        <v>12</v>
      </c>
      <c r="B24" s="146"/>
      <c r="C24" s="147"/>
      <c r="D24" s="147"/>
      <c r="E24" s="148"/>
    </row>
    <row r="25" spans="1:5" ht="15.5" x14ac:dyDescent="0.3">
      <c r="A25" s="69"/>
      <c r="B25" s="136" t="s">
        <v>180</v>
      </c>
      <c r="C25" s="136"/>
      <c r="D25" s="136"/>
      <c r="E25" s="136"/>
    </row>
    <row r="26" spans="1:5" ht="15.5" x14ac:dyDescent="0.35">
      <c r="A26" s="70">
        <v>1</v>
      </c>
      <c r="B26" s="149"/>
      <c r="C26" s="149"/>
      <c r="D26" s="149"/>
      <c r="E26" s="149"/>
    </row>
    <row r="27" spans="1:5" ht="15.5" x14ac:dyDescent="0.35">
      <c r="A27" s="70">
        <v>2</v>
      </c>
      <c r="B27" s="149"/>
      <c r="C27" s="149"/>
      <c r="D27" s="149"/>
      <c r="E27" s="149"/>
    </row>
    <row r="28" spans="1:5" ht="15.5" x14ac:dyDescent="0.35">
      <c r="A28" s="70">
        <v>3</v>
      </c>
      <c r="B28" s="149"/>
      <c r="C28" s="149"/>
      <c r="D28" s="149"/>
      <c r="E28" s="149"/>
    </row>
    <row r="29" spans="1:5" ht="15.5" x14ac:dyDescent="0.35">
      <c r="A29" s="70">
        <v>4</v>
      </c>
      <c r="B29" s="149"/>
      <c r="C29" s="149"/>
      <c r="D29" s="149"/>
      <c r="E29" s="149"/>
    </row>
    <row r="30" spans="1:5" ht="15.5" x14ac:dyDescent="0.35">
      <c r="A30" s="70">
        <v>5</v>
      </c>
      <c r="B30" s="149"/>
      <c r="C30" s="149"/>
      <c r="D30" s="149"/>
      <c r="E30" s="149"/>
    </row>
    <row r="31" spans="1:5" ht="15.5" x14ac:dyDescent="0.35">
      <c r="A31" s="70">
        <v>6</v>
      </c>
      <c r="B31" s="149"/>
      <c r="C31" s="149"/>
      <c r="D31" s="149"/>
      <c r="E31" s="149"/>
    </row>
    <row r="32" spans="1:5" ht="15.5" x14ac:dyDescent="0.35">
      <c r="A32" s="70">
        <v>7</v>
      </c>
      <c r="B32" s="149"/>
      <c r="C32" s="149"/>
      <c r="D32" s="149"/>
      <c r="E32" s="149"/>
    </row>
    <row r="33" spans="1:5" ht="15.5" x14ac:dyDescent="0.35">
      <c r="A33" s="70">
        <v>8</v>
      </c>
      <c r="B33" s="149"/>
      <c r="C33" s="149"/>
      <c r="D33" s="149"/>
      <c r="E33" s="149"/>
    </row>
    <row r="34" spans="1:5" ht="15.5" x14ac:dyDescent="0.35">
      <c r="A34" s="70">
        <v>9</v>
      </c>
      <c r="B34" s="149"/>
      <c r="C34" s="149"/>
      <c r="D34" s="149"/>
      <c r="E34" s="149"/>
    </row>
    <row r="35" spans="1:5" ht="15.5" x14ac:dyDescent="0.35">
      <c r="A35" s="70">
        <v>10</v>
      </c>
      <c r="B35" s="149"/>
      <c r="C35" s="149"/>
      <c r="D35" s="149"/>
      <c r="E35" s="149"/>
    </row>
    <row r="36" spans="1:5" ht="15.5" x14ac:dyDescent="0.35">
      <c r="A36" s="70">
        <v>11</v>
      </c>
      <c r="B36" s="149"/>
      <c r="C36" s="149"/>
      <c r="D36" s="149"/>
      <c r="E36" s="149"/>
    </row>
    <row r="37" spans="1:5" ht="15.5" x14ac:dyDescent="0.35">
      <c r="A37" s="70">
        <v>12</v>
      </c>
      <c r="B37" s="149"/>
      <c r="C37" s="149"/>
      <c r="D37" s="149"/>
      <c r="E37" s="149"/>
    </row>
    <row r="38" spans="1:5" ht="15.5" x14ac:dyDescent="0.3">
      <c r="A38" s="69"/>
      <c r="B38" s="136" t="s">
        <v>181</v>
      </c>
      <c r="C38" s="136"/>
      <c r="D38" s="136"/>
      <c r="E38" s="136"/>
    </row>
    <row r="39" spans="1:5" ht="15.5" x14ac:dyDescent="0.35">
      <c r="A39" s="70">
        <v>1</v>
      </c>
      <c r="B39" s="149"/>
      <c r="C39" s="149"/>
      <c r="D39" s="149"/>
      <c r="E39" s="149"/>
    </row>
    <row r="40" spans="1:5" ht="15.5" x14ac:dyDescent="0.35">
      <c r="A40" s="70">
        <v>2</v>
      </c>
      <c r="B40" s="149"/>
      <c r="C40" s="149"/>
      <c r="D40" s="149"/>
      <c r="E40" s="149"/>
    </row>
    <row r="41" spans="1:5" ht="15.5" x14ac:dyDescent="0.35">
      <c r="A41" s="70">
        <v>3</v>
      </c>
      <c r="B41" s="149"/>
      <c r="C41" s="149"/>
      <c r="D41" s="149"/>
      <c r="E41" s="149"/>
    </row>
    <row r="42" spans="1:5" ht="15.5" x14ac:dyDescent="0.35">
      <c r="A42" s="70">
        <v>4</v>
      </c>
      <c r="B42" s="149"/>
      <c r="C42" s="149"/>
      <c r="D42" s="149"/>
      <c r="E42" s="149"/>
    </row>
    <row r="43" spans="1:5" ht="15.5" x14ac:dyDescent="0.35">
      <c r="A43" s="70">
        <v>5</v>
      </c>
      <c r="B43" s="149"/>
      <c r="C43" s="149"/>
      <c r="D43" s="149"/>
      <c r="E43" s="149"/>
    </row>
    <row r="44" spans="1:5" ht="15.5" x14ac:dyDescent="0.35">
      <c r="A44" s="70">
        <v>6</v>
      </c>
      <c r="B44" s="149"/>
      <c r="C44" s="149"/>
      <c r="D44" s="149"/>
      <c r="E44" s="149"/>
    </row>
    <row r="45" spans="1:5" ht="15.5" x14ac:dyDescent="0.35">
      <c r="A45" s="70">
        <v>7</v>
      </c>
      <c r="B45" s="149"/>
      <c r="C45" s="149"/>
      <c r="D45" s="149"/>
      <c r="E45" s="149"/>
    </row>
    <row r="46" spans="1:5" ht="15.5" x14ac:dyDescent="0.35">
      <c r="A46" s="70">
        <v>8</v>
      </c>
      <c r="B46" s="149"/>
      <c r="C46" s="149"/>
      <c r="D46" s="149"/>
      <c r="E46" s="149"/>
    </row>
    <row r="47" spans="1:5" ht="15.5" x14ac:dyDescent="0.35">
      <c r="A47" s="70">
        <v>9</v>
      </c>
      <c r="B47" s="149"/>
      <c r="C47" s="149"/>
      <c r="D47" s="149"/>
      <c r="E47" s="149"/>
    </row>
    <row r="48" spans="1:5" ht="15.5" x14ac:dyDescent="0.35">
      <c r="A48" s="70">
        <v>10</v>
      </c>
      <c r="B48" s="149"/>
      <c r="C48" s="149"/>
      <c r="D48" s="149"/>
      <c r="E48" s="149"/>
    </row>
    <row r="49" spans="1:5" ht="15.5" x14ac:dyDescent="0.35">
      <c r="A49" s="70">
        <v>11</v>
      </c>
      <c r="B49" s="149"/>
      <c r="C49" s="149"/>
      <c r="D49" s="149"/>
      <c r="E49" s="149"/>
    </row>
    <row r="50" spans="1:5" ht="15.5" x14ac:dyDescent="0.35">
      <c r="A50" s="70">
        <v>12</v>
      </c>
      <c r="B50" s="149"/>
      <c r="C50" s="149"/>
      <c r="D50" s="149"/>
      <c r="E50" s="149"/>
    </row>
    <row r="51" spans="1:5" ht="15.5" x14ac:dyDescent="0.3">
      <c r="A51" s="69"/>
      <c r="B51" s="136" t="s">
        <v>182</v>
      </c>
      <c r="C51" s="136"/>
      <c r="D51" s="136"/>
      <c r="E51" s="136"/>
    </row>
    <row r="52" spans="1:5" ht="15.5" x14ac:dyDescent="0.35">
      <c r="A52" s="70">
        <v>1</v>
      </c>
      <c r="B52" s="149"/>
      <c r="C52" s="149"/>
      <c r="D52" s="149"/>
      <c r="E52" s="149"/>
    </row>
    <row r="53" spans="1:5" ht="15.5" x14ac:dyDescent="0.35">
      <c r="A53" s="70">
        <v>2</v>
      </c>
      <c r="B53" s="149"/>
      <c r="C53" s="149"/>
      <c r="D53" s="149"/>
      <c r="E53" s="149"/>
    </row>
    <row r="54" spans="1:5" ht="15.5" x14ac:dyDescent="0.35">
      <c r="A54" s="70">
        <v>3</v>
      </c>
      <c r="B54" s="149"/>
      <c r="C54" s="149"/>
      <c r="D54" s="149"/>
      <c r="E54" s="149"/>
    </row>
    <row r="55" spans="1:5" ht="15.5" x14ac:dyDescent="0.35">
      <c r="A55" s="70">
        <v>4</v>
      </c>
      <c r="B55" s="149"/>
      <c r="C55" s="149"/>
      <c r="D55" s="149"/>
      <c r="E55" s="149"/>
    </row>
    <row r="56" spans="1:5" ht="15.5" x14ac:dyDescent="0.35">
      <c r="A56" s="70">
        <v>5</v>
      </c>
      <c r="B56" s="149"/>
      <c r="C56" s="149"/>
      <c r="D56" s="149"/>
      <c r="E56" s="149"/>
    </row>
    <row r="57" spans="1:5" ht="15.5" x14ac:dyDescent="0.35">
      <c r="A57" s="70">
        <v>6</v>
      </c>
      <c r="B57" s="149"/>
      <c r="C57" s="149"/>
      <c r="D57" s="149"/>
      <c r="E57" s="149"/>
    </row>
    <row r="58" spans="1:5" ht="15.5" x14ac:dyDescent="0.35">
      <c r="A58" s="70">
        <v>7</v>
      </c>
      <c r="B58" s="149"/>
      <c r="C58" s="149"/>
      <c r="D58" s="149"/>
      <c r="E58" s="149"/>
    </row>
    <row r="59" spans="1:5" ht="15.5" x14ac:dyDescent="0.35">
      <c r="A59" s="70">
        <v>8</v>
      </c>
      <c r="B59" s="149"/>
      <c r="C59" s="149"/>
      <c r="D59" s="149"/>
      <c r="E59" s="149"/>
    </row>
    <row r="60" spans="1:5" ht="15.5" x14ac:dyDescent="0.35">
      <c r="A60" s="70">
        <v>9</v>
      </c>
      <c r="B60" s="149"/>
      <c r="C60" s="149"/>
      <c r="D60" s="149"/>
      <c r="E60" s="149"/>
    </row>
    <row r="61" spans="1:5" ht="15.5" x14ac:dyDescent="0.35">
      <c r="A61" s="70">
        <v>10</v>
      </c>
      <c r="B61" s="149"/>
      <c r="C61" s="149"/>
      <c r="D61" s="149"/>
      <c r="E61" s="149"/>
    </row>
    <row r="62" spans="1:5" ht="15.5" x14ac:dyDescent="0.35">
      <c r="A62" s="70">
        <v>11</v>
      </c>
      <c r="B62" s="149"/>
      <c r="C62" s="149"/>
      <c r="D62" s="149"/>
      <c r="E62" s="149"/>
    </row>
    <row r="63" spans="1:5" ht="15.5" x14ac:dyDescent="0.35">
      <c r="A63" s="70">
        <v>12</v>
      </c>
      <c r="B63" s="149"/>
      <c r="C63" s="149"/>
      <c r="D63" s="149"/>
      <c r="E63" s="149"/>
    </row>
    <row r="64" spans="1:5" ht="15.75" customHeight="1" x14ac:dyDescent="0.3">
      <c r="A64" s="69"/>
      <c r="B64" s="150" t="s">
        <v>183</v>
      </c>
      <c r="C64" s="151"/>
      <c r="D64" s="151"/>
      <c r="E64" s="152"/>
    </row>
    <row r="65" spans="1:5" ht="15.75" customHeight="1" x14ac:dyDescent="0.35">
      <c r="A65" s="70">
        <v>1</v>
      </c>
      <c r="B65" s="146"/>
      <c r="C65" s="147"/>
      <c r="D65" s="147"/>
      <c r="E65" s="148"/>
    </row>
    <row r="66" spans="1:5" ht="15.75" customHeight="1" x14ac:dyDescent="0.35">
      <c r="A66" s="70">
        <v>2</v>
      </c>
      <c r="B66" s="146"/>
      <c r="C66" s="147"/>
      <c r="D66" s="147"/>
      <c r="E66" s="148"/>
    </row>
    <row r="67" spans="1:5" ht="15.75" customHeight="1" x14ac:dyDescent="0.35">
      <c r="A67" s="70">
        <v>3</v>
      </c>
      <c r="B67" s="146"/>
      <c r="C67" s="147"/>
      <c r="D67" s="147"/>
      <c r="E67" s="148"/>
    </row>
    <row r="68" spans="1:5" ht="15.75" customHeight="1" x14ac:dyDescent="0.35">
      <c r="A68" s="70">
        <v>4</v>
      </c>
      <c r="B68" s="146"/>
      <c r="C68" s="147"/>
      <c r="D68" s="147"/>
      <c r="E68" s="148"/>
    </row>
    <row r="69" spans="1:5" ht="15.75" customHeight="1" x14ac:dyDescent="0.35">
      <c r="A69" s="70">
        <v>5</v>
      </c>
      <c r="B69" s="146"/>
      <c r="C69" s="147"/>
      <c r="D69" s="147"/>
      <c r="E69" s="148"/>
    </row>
    <row r="70" spans="1:5" ht="15.5" x14ac:dyDescent="0.35">
      <c r="A70" s="70">
        <v>6</v>
      </c>
      <c r="B70" s="146"/>
      <c r="C70" s="147"/>
      <c r="D70" s="147"/>
      <c r="E70" s="148"/>
    </row>
    <row r="71" spans="1:5" ht="15.5" x14ac:dyDescent="0.35">
      <c r="A71" s="70">
        <v>7</v>
      </c>
      <c r="B71" s="146"/>
      <c r="C71" s="147"/>
      <c r="D71" s="147"/>
      <c r="E71" s="148"/>
    </row>
    <row r="72" spans="1:5" ht="15.5" x14ac:dyDescent="0.35">
      <c r="A72" s="70">
        <v>8</v>
      </c>
      <c r="B72" s="146"/>
      <c r="C72" s="147"/>
      <c r="D72" s="147"/>
      <c r="E72" s="148"/>
    </row>
    <row r="73" spans="1:5" ht="15.5" x14ac:dyDescent="0.35">
      <c r="A73" s="70">
        <v>9</v>
      </c>
      <c r="B73" s="146"/>
      <c r="C73" s="147"/>
      <c r="D73" s="147"/>
      <c r="E73" s="148"/>
    </row>
    <row r="74" spans="1:5" ht="15.5" x14ac:dyDescent="0.35">
      <c r="A74" s="70">
        <v>10</v>
      </c>
      <c r="B74" s="146"/>
      <c r="C74" s="147"/>
      <c r="D74" s="147"/>
      <c r="E74" s="148"/>
    </row>
    <row r="75" spans="1:5" ht="15.5" x14ac:dyDescent="0.35">
      <c r="A75" s="70">
        <v>11</v>
      </c>
      <c r="B75" s="146"/>
      <c r="C75" s="147"/>
      <c r="D75" s="147"/>
      <c r="E75" s="148"/>
    </row>
    <row r="76" spans="1:5" ht="15.5" x14ac:dyDescent="0.35">
      <c r="A76" s="70">
        <v>12</v>
      </c>
      <c r="B76" s="146"/>
      <c r="C76" s="147"/>
      <c r="D76" s="147"/>
      <c r="E76" s="148"/>
    </row>
    <row r="77" spans="1:5" ht="15.5" x14ac:dyDescent="0.3">
      <c r="A77" s="69"/>
      <c r="B77" s="136" t="s">
        <v>184</v>
      </c>
      <c r="C77" s="136"/>
      <c r="D77" s="136"/>
      <c r="E77" s="136"/>
    </row>
    <row r="78" spans="1:5" ht="15.5" x14ac:dyDescent="0.35">
      <c r="A78" s="70">
        <v>1</v>
      </c>
      <c r="B78" s="149"/>
      <c r="C78" s="149"/>
      <c r="D78" s="149"/>
      <c r="E78" s="149"/>
    </row>
    <row r="79" spans="1:5" ht="15.5" x14ac:dyDescent="0.35">
      <c r="A79" s="70">
        <v>2</v>
      </c>
      <c r="B79" s="149"/>
      <c r="C79" s="149"/>
      <c r="D79" s="149"/>
      <c r="E79" s="149"/>
    </row>
    <row r="80" spans="1:5" ht="15.5" x14ac:dyDescent="0.35">
      <c r="A80" s="70">
        <v>3</v>
      </c>
      <c r="B80" s="149"/>
      <c r="C80" s="149"/>
      <c r="D80" s="149"/>
      <c r="E80" s="149"/>
    </row>
    <row r="81" spans="1:5" ht="15.5" x14ac:dyDescent="0.35">
      <c r="A81" s="70">
        <v>4</v>
      </c>
      <c r="B81" s="149"/>
      <c r="C81" s="149"/>
      <c r="D81" s="149"/>
      <c r="E81" s="149"/>
    </row>
    <row r="82" spans="1:5" ht="15.5" x14ac:dyDescent="0.35">
      <c r="A82" s="70">
        <v>5</v>
      </c>
      <c r="B82" s="149"/>
      <c r="C82" s="149"/>
      <c r="D82" s="149"/>
      <c r="E82" s="149"/>
    </row>
    <row r="83" spans="1:5" ht="15.5" x14ac:dyDescent="0.35">
      <c r="A83" s="70">
        <v>6</v>
      </c>
      <c r="B83" s="149"/>
      <c r="C83" s="149"/>
      <c r="D83" s="149"/>
      <c r="E83" s="149"/>
    </row>
    <row r="84" spans="1:5" ht="15.5" x14ac:dyDescent="0.35">
      <c r="A84" s="70">
        <v>7</v>
      </c>
      <c r="B84" s="149"/>
      <c r="C84" s="149"/>
      <c r="D84" s="149"/>
      <c r="E84" s="149"/>
    </row>
    <row r="85" spans="1:5" ht="15.5" x14ac:dyDescent="0.35">
      <c r="A85" s="70">
        <v>8</v>
      </c>
      <c r="B85" s="149"/>
      <c r="C85" s="149"/>
      <c r="D85" s="149"/>
      <c r="E85" s="149"/>
    </row>
    <row r="86" spans="1:5" ht="15.5" x14ac:dyDescent="0.35">
      <c r="A86" s="70">
        <v>9</v>
      </c>
      <c r="B86" s="149"/>
      <c r="C86" s="149"/>
      <c r="D86" s="149"/>
      <c r="E86" s="149"/>
    </row>
    <row r="87" spans="1:5" ht="15.5" x14ac:dyDescent="0.35">
      <c r="A87" s="70">
        <v>10</v>
      </c>
      <c r="B87" s="149"/>
      <c r="C87" s="149"/>
      <c r="D87" s="149"/>
      <c r="E87" s="149"/>
    </row>
    <row r="88" spans="1:5" ht="15.5" x14ac:dyDescent="0.35">
      <c r="A88" s="70">
        <v>11</v>
      </c>
      <c r="B88" s="149"/>
      <c r="C88" s="149"/>
      <c r="D88" s="149"/>
      <c r="E88" s="149"/>
    </row>
    <row r="89" spans="1:5" ht="15.5" x14ac:dyDescent="0.35">
      <c r="A89" s="70">
        <v>12</v>
      </c>
      <c r="B89" s="149"/>
      <c r="C89" s="149"/>
      <c r="D89" s="149"/>
      <c r="E89" s="149"/>
    </row>
  </sheetData>
  <mergeCells count="82">
    <mergeCell ref="A7:E7"/>
    <mergeCell ref="B8:E8"/>
    <mergeCell ref="B9:E9"/>
    <mergeCell ref="B12:E12"/>
    <mergeCell ref="B25:E25"/>
    <mergeCell ref="B20:E20"/>
    <mergeCell ref="B21:E21"/>
    <mergeCell ref="B22:E22"/>
    <mergeCell ref="B23:E23"/>
    <mergeCell ref="B24:E24"/>
    <mergeCell ref="B10:E10"/>
    <mergeCell ref="B48:E48"/>
    <mergeCell ref="B37:E37"/>
    <mergeCell ref="B26:E26"/>
    <mergeCell ref="B27:E27"/>
    <mergeCell ref="B28:E28"/>
    <mergeCell ref="B29:E29"/>
    <mergeCell ref="B30:E30"/>
    <mergeCell ref="B31:E31"/>
    <mergeCell ref="B32:E32"/>
    <mergeCell ref="B33:E33"/>
    <mergeCell ref="B34:E34"/>
    <mergeCell ref="B35:E35"/>
    <mergeCell ref="B36:E36"/>
    <mergeCell ref="B43:E43"/>
    <mergeCell ref="B44:E44"/>
    <mergeCell ref="B45:E45"/>
    <mergeCell ref="B46:E46"/>
    <mergeCell ref="B47:E47"/>
    <mergeCell ref="B38:E38"/>
    <mergeCell ref="B39:E39"/>
    <mergeCell ref="B40:E40"/>
    <mergeCell ref="B41:E41"/>
    <mergeCell ref="B42:E42"/>
    <mergeCell ref="B89:E89"/>
    <mergeCell ref="B13:E13"/>
    <mergeCell ref="B14:E14"/>
    <mergeCell ref="B15:E15"/>
    <mergeCell ref="B16:E16"/>
    <mergeCell ref="B17:E17"/>
    <mergeCell ref="B18:E18"/>
    <mergeCell ref="B19:E19"/>
    <mergeCell ref="B81:E81"/>
    <mergeCell ref="B82:E82"/>
    <mergeCell ref="B83:E83"/>
    <mergeCell ref="B84:E84"/>
    <mergeCell ref="B85:E85"/>
    <mergeCell ref="B86:E86"/>
    <mergeCell ref="B62:E62"/>
    <mergeCell ref="B49:E49"/>
    <mergeCell ref="B64:E64"/>
    <mergeCell ref="B75:E75"/>
    <mergeCell ref="B70:E70"/>
    <mergeCell ref="B61:E61"/>
    <mergeCell ref="B50:E50"/>
    <mergeCell ref="B56:E56"/>
    <mergeCell ref="B57:E57"/>
    <mergeCell ref="B58:E58"/>
    <mergeCell ref="B59:E59"/>
    <mergeCell ref="B60:E60"/>
    <mergeCell ref="B51:E51"/>
    <mergeCell ref="B52:E52"/>
    <mergeCell ref="B53:E53"/>
    <mergeCell ref="B54:E54"/>
    <mergeCell ref="B55:E55"/>
    <mergeCell ref="B63:E63"/>
    <mergeCell ref="B87:E87"/>
    <mergeCell ref="B88:E88"/>
    <mergeCell ref="B77:E77"/>
    <mergeCell ref="B78:E78"/>
    <mergeCell ref="B79:E79"/>
    <mergeCell ref="B80:E80"/>
    <mergeCell ref="B76:E76"/>
    <mergeCell ref="B69:E69"/>
    <mergeCell ref="B65:E65"/>
    <mergeCell ref="B66:E66"/>
    <mergeCell ref="B67:E67"/>
    <mergeCell ref="B68:E68"/>
    <mergeCell ref="B71:E71"/>
    <mergeCell ref="B72:E72"/>
    <mergeCell ref="B73:E73"/>
    <mergeCell ref="B74:E74"/>
  </mergeCells>
  <hyperlinks>
    <hyperlink ref="A1" location="'1. TOC &amp; Instructions'!A1" display="Link: TOC &amp; Instructions" xr:uid="{D9F00D09-F75B-482E-B5EB-4B551438724F}"/>
  </hyperlinks>
  <pageMargins left="0.25" right="0.25" top="0.75" bottom="0.75" header="0.3" footer="0.3"/>
  <pageSetup scale="87" fitToHeight="0" orientation="landscape" r:id="rId1"/>
  <headerFooter>
    <oddHeader>&amp;C&amp;A</oddHeader>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898D-FEE6-4D96-8940-363390984946}">
  <sheetPr>
    <pageSetUpPr fitToPage="1"/>
  </sheetPr>
  <dimension ref="A1:D40"/>
  <sheetViews>
    <sheetView showGridLines="0" topLeftCell="A3" zoomScale="90" zoomScaleNormal="90" workbookViewId="0">
      <selection activeCell="A3" sqref="A3"/>
    </sheetView>
  </sheetViews>
  <sheetFormatPr defaultColWidth="9.1796875" defaultRowHeight="14" x14ac:dyDescent="0.3"/>
  <cols>
    <col min="1" max="1" width="27.453125" style="6" bestFit="1" customWidth="1"/>
    <col min="2" max="2" width="50.453125" style="6" customWidth="1"/>
    <col min="3" max="3" width="72" style="6" customWidth="1"/>
    <col min="4" max="4" width="21" style="6" customWidth="1"/>
    <col min="5" max="16384" width="9.1796875" style="6"/>
  </cols>
  <sheetData>
    <row r="1" spans="1:4" s="20" customFormat="1" ht="27.65" customHeight="1" x14ac:dyDescent="0.4">
      <c r="A1" s="15" t="s">
        <v>48</v>
      </c>
      <c r="B1" s="16" t="str">
        <f>'0. Cover Sheet'!B5</f>
        <v>EXHIBIT J.6 - Cost Workbook</v>
      </c>
      <c r="C1" s="16"/>
    </row>
    <row r="2" spans="1:4" s="20" customFormat="1" ht="15" customHeight="1" x14ac:dyDescent="0.3">
      <c r="A2" s="28"/>
    </row>
    <row r="3" spans="1:4" s="20" customFormat="1" ht="17.5" customHeight="1" x14ac:dyDescent="0.3">
      <c r="A3" s="37" t="s">
        <v>1</v>
      </c>
      <c r="B3" s="37" t="str">
        <f>'0. Cover Sheet'!B7</f>
        <v>696-IT-25-O053</v>
      </c>
      <c r="C3" s="37"/>
    </row>
    <row r="4" spans="1:4" s="20" customFormat="1" ht="15" customHeight="1" x14ac:dyDescent="0.3">
      <c r="A4" s="37" t="s">
        <v>3</v>
      </c>
      <c r="B4" s="37" t="str">
        <f>'0. Cover Sheet'!B8</f>
        <v>Texas Department of Criminal Justice Corrections Information Technology System 2.0 (CITS 2.0)</v>
      </c>
      <c r="C4" s="37"/>
    </row>
    <row r="5" spans="1:4" s="20" customFormat="1" ht="15" customHeight="1" x14ac:dyDescent="0.3">
      <c r="A5" s="37" t="s">
        <v>5</v>
      </c>
      <c r="B5" s="29" t="str">
        <f>'0. Cover Sheet'!B9</f>
        <v>Respondent Name</v>
      </c>
      <c r="C5" s="29"/>
    </row>
    <row r="6" spans="1:4" ht="15" customHeight="1" x14ac:dyDescent="0.3">
      <c r="A6" s="88"/>
      <c r="B6" s="88"/>
      <c r="C6" s="88"/>
      <c r="D6" s="88"/>
    </row>
    <row r="7" spans="1:4" ht="14.5" customHeight="1" x14ac:dyDescent="0.3">
      <c r="A7" s="120" t="s">
        <v>61</v>
      </c>
      <c r="B7" s="120"/>
      <c r="C7" s="120"/>
      <c r="D7" s="120"/>
    </row>
    <row r="8" spans="1:4" ht="44.5" customHeight="1" x14ac:dyDescent="0.3">
      <c r="A8" s="43">
        <v>1</v>
      </c>
      <c r="B8" s="121" t="s">
        <v>206</v>
      </c>
      <c r="C8" s="122"/>
      <c r="D8" s="123"/>
    </row>
    <row r="9" spans="1:4" ht="15" customHeight="1" x14ac:dyDescent="0.3">
      <c r="A9" s="67"/>
      <c r="B9" s="67"/>
      <c r="C9" s="67"/>
      <c r="D9" s="74"/>
    </row>
    <row r="10" spans="1:4" ht="15" customHeight="1" x14ac:dyDescent="0.3">
      <c r="A10" s="90" t="s">
        <v>185</v>
      </c>
      <c r="B10" s="90" t="s">
        <v>186</v>
      </c>
      <c r="C10" s="90" t="s">
        <v>13</v>
      </c>
      <c r="D10" s="93" t="s">
        <v>187</v>
      </c>
    </row>
    <row r="11" spans="1:4" ht="15.5" x14ac:dyDescent="0.35">
      <c r="A11" s="70">
        <v>1</v>
      </c>
      <c r="B11" s="70"/>
      <c r="C11" s="70"/>
      <c r="D11" s="92"/>
    </row>
    <row r="12" spans="1:4" ht="15.5" x14ac:dyDescent="0.35">
      <c r="A12" s="70">
        <v>2</v>
      </c>
      <c r="B12" s="70"/>
      <c r="C12" s="70"/>
      <c r="D12" s="92"/>
    </row>
    <row r="13" spans="1:4" ht="15.5" x14ac:dyDescent="0.35">
      <c r="A13" s="70">
        <v>3</v>
      </c>
      <c r="B13" s="70"/>
      <c r="C13" s="70"/>
      <c r="D13" s="92"/>
    </row>
    <row r="14" spans="1:4" ht="15.5" x14ac:dyDescent="0.35">
      <c r="A14" s="70">
        <v>4</v>
      </c>
      <c r="B14" s="70"/>
      <c r="C14" s="70"/>
      <c r="D14" s="92"/>
    </row>
    <row r="15" spans="1:4" ht="15.5" x14ac:dyDescent="0.35">
      <c r="A15" s="70">
        <v>5</v>
      </c>
      <c r="B15" s="70"/>
      <c r="C15" s="70"/>
      <c r="D15" s="92"/>
    </row>
    <row r="16" spans="1:4" ht="15.5" x14ac:dyDescent="0.35">
      <c r="A16" s="70">
        <v>6</v>
      </c>
      <c r="B16" s="70"/>
      <c r="C16" s="70"/>
      <c r="D16" s="92"/>
    </row>
    <row r="17" spans="1:4" ht="15.5" x14ac:dyDescent="0.35">
      <c r="A17" s="70">
        <v>7</v>
      </c>
      <c r="B17" s="70"/>
      <c r="C17" s="70"/>
      <c r="D17" s="92"/>
    </row>
    <row r="18" spans="1:4" ht="15.5" x14ac:dyDescent="0.35">
      <c r="A18" s="70">
        <v>8</v>
      </c>
      <c r="B18" s="70"/>
      <c r="C18" s="70"/>
      <c r="D18" s="92"/>
    </row>
    <row r="19" spans="1:4" ht="15.5" x14ac:dyDescent="0.35">
      <c r="A19" s="70">
        <v>9</v>
      </c>
      <c r="B19" s="70"/>
      <c r="C19" s="70"/>
      <c r="D19" s="92"/>
    </row>
    <row r="20" spans="1:4" ht="15.5" x14ac:dyDescent="0.35">
      <c r="A20" s="70">
        <v>10</v>
      </c>
      <c r="B20" s="70"/>
      <c r="C20" s="70"/>
      <c r="D20" s="92"/>
    </row>
    <row r="21" spans="1:4" ht="15.5" x14ac:dyDescent="0.35">
      <c r="A21" s="70">
        <v>11</v>
      </c>
      <c r="B21" s="70"/>
      <c r="C21" s="70"/>
      <c r="D21" s="92"/>
    </row>
    <row r="22" spans="1:4" ht="15.5" x14ac:dyDescent="0.35">
      <c r="A22" s="70">
        <v>12</v>
      </c>
      <c r="B22" s="70"/>
      <c r="C22" s="70"/>
      <c r="D22" s="92"/>
    </row>
    <row r="23" spans="1:4" ht="15.5" x14ac:dyDescent="0.35">
      <c r="A23" s="70">
        <v>13</v>
      </c>
      <c r="B23" s="70"/>
      <c r="C23" s="70"/>
      <c r="D23" s="92"/>
    </row>
    <row r="24" spans="1:4" ht="15.5" x14ac:dyDescent="0.35">
      <c r="A24" s="70">
        <v>14</v>
      </c>
      <c r="B24" s="70"/>
      <c r="C24" s="70"/>
      <c r="D24" s="92"/>
    </row>
    <row r="25" spans="1:4" ht="15.5" x14ac:dyDescent="0.35">
      <c r="A25" s="70">
        <v>15</v>
      </c>
      <c r="B25" s="70"/>
      <c r="C25" s="70"/>
      <c r="D25" s="92"/>
    </row>
    <row r="26" spans="1:4" ht="15.5" x14ac:dyDescent="0.35">
      <c r="A26" s="70">
        <v>16</v>
      </c>
      <c r="B26" s="70"/>
      <c r="C26" s="70"/>
      <c r="D26" s="92"/>
    </row>
    <row r="27" spans="1:4" ht="15.5" x14ac:dyDescent="0.35">
      <c r="A27" s="70">
        <v>17</v>
      </c>
      <c r="B27" s="70"/>
      <c r="C27" s="70"/>
      <c r="D27" s="92"/>
    </row>
    <row r="28" spans="1:4" ht="15.5" x14ac:dyDescent="0.35">
      <c r="A28" s="70">
        <v>18</v>
      </c>
      <c r="B28" s="70"/>
      <c r="C28" s="70"/>
      <c r="D28" s="92"/>
    </row>
    <row r="29" spans="1:4" ht="15.5" x14ac:dyDescent="0.35">
      <c r="A29" s="70">
        <v>19</v>
      </c>
      <c r="B29" s="70"/>
      <c r="C29" s="70"/>
      <c r="D29" s="92"/>
    </row>
    <row r="30" spans="1:4" ht="15.5" x14ac:dyDescent="0.35">
      <c r="A30" s="70">
        <v>20</v>
      </c>
      <c r="B30" s="70"/>
      <c r="C30" s="70"/>
      <c r="D30" s="92"/>
    </row>
    <row r="31" spans="1:4" ht="15.5" x14ac:dyDescent="0.35">
      <c r="A31" s="70">
        <v>21</v>
      </c>
      <c r="B31" s="70"/>
      <c r="C31" s="70"/>
      <c r="D31" s="92"/>
    </row>
    <row r="32" spans="1:4" ht="15.5" x14ac:dyDescent="0.35">
      <c r="A32" s="70">
        <v>22</v>
      </c>
      <c r="B32" s="70"/>
      <c r="C32" s="70"/>
      <c r="D32" s="92"/>
    </row>
    <row r="33" spans="1:4" ht="15.5" x14ac:dyDescent="0.35">
      <c r="A33" s="70">
        <v>23</v>
      </c>
      <c r="B33" s="70"/>
      <c r="C33" s="70"/>
      <c r="D33" s="92"/>
    </row>
    <row r="34" spans="1:4" ht="15.5" x14ac:dyDescent="0.35">
      <c r="A34" s="70">
        <v>24</v>
      </c>
      <c r="B34" s="70"/>
      <c r="C34" s="70"/>
      <c r="D34" s="92"/>
    </row>
    <row r="35" spans="1:4" ht="15.5" x14ac:dyDescent="0.35">
      <c r="A35" s="70">
        <v>25</v>
      </c>
      <c r="B35" s="70"/>
      <c r="C35" s="70"/>
      <c r="D35" s="92"/>
    </row>
    <row r="36" spans="1:4" ht="15.5" x14ac:dyDescent="0.35">
      <c r="A36" s="70">
        <v>26</v>
      </c>
      <c r="B36" s="70"/>
      <c r="C36" s="70"/>
      <c r="D36" s="92"/>
    </row>
    <row r="37" spans="1:4" ht="15.5" x14ac:dyDescent="0.35">
      <c r="A37" s="70">
        <v>27</v>
      </c>
      <c r="B37" s="70"/>
      <c r="C37" s="70"/>
      <c r="D37" s="92"/>
    </row>
    <row r="38" spans="1:4" ht="15.5" x14ac:dyDescent="0.35">
      <c r="A38" s="70">
        <v>28</v>
      </c>
      <c r="B38" s="70"/>
      <c r="C38" s="70"/>
      <c r="D38" s="92"/>
    </row>
    <row r="39" spans="1:4" ht="15.5" x14ac:dyDescent="0.35">
      <c r="A39" s="70">
        <v>29</v>
      </c>
      <c r="B39" s="70"/>
      <c r="C39" s="70"/>
      <c r="D39" s="92"/>
    </row>
    <row r="40" spans="1:4" ht="15.5" x14ac:dyDescent="0.35">
      <c r="A40" s="70">
        <v>30</v>
      </c>
      <c r="B40" s="70"/>
      <c r="C40" s="70"/>
      <c r="D40" s="92"/>
    </row>
  </sheetData>
  <mergeCells count="2">
    <mergeCell ref="A7:D7"/>
    <mergeCell ref="B8:D8"/>
  </mergeCells>
  <hyperlinks>
    <hyperlink ref="A1" location="'1. TOC &amp; Instructions'!A1" display="Link: TOC &amp; Instructions" xr:uid="{2AF8C21D-6D86-488E-B155-AF0E214AED2B}"/>
  </hyperlinks>
  <pageMargins left="0.25" right="0.25" top="0.75" bottom="0.75" header="0.3" footer="0.3"/>
  <pageSetup scale="86" fitToHeight="0" orientation="landscape" r:id="rId1"/>
  <headerFooter>
    <oddHeader>&amp;C&amp;A</oddHeader>
    <oddFooter>&amp;C&amp;P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E113-118F-431D-B43F-7F692F09A70D}">
  <sheetPr>
    <pageSetUpPr fitToPage="1"/>
  </sheetPr>
  <dimension ref="A1:C40"/>
  <sheetViews>
    <sheetView showGridLines="0" zoomScale="90" zoomScaleNormal="90" workbookViewId="0">
      <selection activeCell="I14" sqref="I14"/>
    </sheetView>
  </sheetViews>
  <sheetFormatPr defaultColWidth="9.1796875" defaultRowHeight="14" x14ac:dyDescent="0.3"/>
  <cols>
    <col min="1" max="1" width="27.453125" style="6" bestFit="1" customWidth="1"/>
    <col min="2" max="2" width="50.453125" style="6" customWidth="1"/>
    <col min="3" max="3" width="41.26953125" style="6" customWidth="1"/>
    <col min="4" max="16384" width="9.1796875" style="6"/>
  </cols>
  <sheetData>
    <row r="1" spans="1:3" s="20" customFormat="1" ht="27.65" customHeight="1" x14ac:dyDescent="0.4">
      <c r="A1" s="15" t="s">
        <v>48</v>
      </c>
      <c r="B1" s="16" t="str">
        <f>'0. Cover Sheet'!B5</f>
        <v>EXHIBIT J.6 - Cost Workbook</v>
      </c>
    </row>
    <row r="2" spans="1:3" s="20" customFormat="1" ht="15" customHeight="1" x14ac:dyDescent="0.3">
      <c r="A2" s="28"/>
    </row>
    <row r="3" spans="1:3" s="20" customFormat="1" ht="17.5" customHeight="1" x14ac:dyDescent="0.3">
      <c r="A3" s="37" t="s">
        <v>1</v>
      </c>
      <c r="B3" s="37" t="str">
        <f>'0. Cover Sheet'!B7</f>
        <v>696-IT-25-O053</v>
      </c>
    </row>
    <row r="4" spans="1:3" s="20" customFormat="1" ht="15" customHeight="1" x14ac:dyDescent="0.3">
      <c r="A4" s="37" t="s">
        <v>3</v>
      </c>
      <c r="B4" s="37" t="str">
        <f>'0. Cover Sheet'!B8</f>
        <v>Texas Department of Criminal Justice Corrections Information Technology System 2.0 (CITS 2.0)</v>
      </c>
    </row>
    <row r="5" spans="1:3" s="20" customFormat="1" ht="15" customHeight="1" x14ac:dyDescent="0.3">
      <c r="A5" s="37" t="s">
        <v>5</v>
      </c>
      <c r="B5" s="29" t="str">
        <f>'0. Cover Sheet'!B9</f>
        <v>Respondent Name</v>
      </c>
    </row>
    <row r="6" spans="1:3" ht="15" customHeight="1" x14ac:dyDescent="0.3">
      <c r="A6" s="88"/>
      <c r="B6" s="88"/>
      <c r="C6" s="88"/>
    </row>
    <row r="7" spans="1:3" ht="14.5" customHeight="1" x14ac:dyDescent="0.3">
      <c r="A7" s="120" t="s">
        <v>61</v>
      </c>
      <c r="B7" s="120"/>
      <c r="C7" s="120"/>
    </row>
    <row r="8" spans="1:3" ht="59.5" customHeight="1" x14ac:dyDescent="0.3">
      <c r="A8" s="43">
        <v>1</v>
      </c>
      <c r="B8" s="121" t="s">
        <v>188</v>
      </c>
      <c r="C8" s="123"/>
    </row>
    <row r="9" spans="1:3" ht="15" customHeight="1" x14ac:dyDescent="0.3">
      <c r="A9" s="67"/>
      <c r="B9" s="67"/>
      <c r="C9" s="74"/>
    </row>
    <row r="10" spans="1:3" ht="58.5" customHeight="1" x14ac:dyDescent="0.3">
      <c r="A10" s="90" t="s">
        <v>185</v>
      </c>
      <c r="B10" s="90" t="s">
        <v>189</v>
      </c>
      <c r="C10" s="93" t="s">
        <v>190</v>
      </c>
    </row>
    <row r="11" spans="1:3" ht="15.5" x14ac:dyDescent="0.35">
      <c r="A11" s="70">
        <v>1</v>
      </c>
      <c r="B11" s="70"/>
      <c r="C11" s="92"/>
    </row>
    <row r="12" spans="1:3" ht="15.5" x14ac:dyDescent="0.35">
      <c r="A12" s="70">
        <v>2</v>
      </c>
      <c r="B12" s="70"/>
      <c r="C12" s="92"/>
    </row>
    <row r="13" spans="1:3" ht="15.5" x14ac:dyDescent="0.35">
      <c r="A13" s="70">
        <v>3</v>
      </c>
      <c r="B13" s="70"/>
      <c r="C13" s="92"/>
    </row>
    <row r="14" spans="1:3" ht="15.5" x14ac:dyDescent="0.35">
      <c r="A14" s="70">
        <v>4</v>
      </c>
      <c r="B14" s="70"/>
      <c r="C14" s="92"/>
    </row>
    <row r="15" spans="1:3" ht="15.5" x14ac:dyDescent="0.35">
      <c r="A15" s="70">
        <v>5</v>
      </c>
      <c r="B15" s="70"/>
      <c r="C15" s="92"/>
    </row>
    <row r="16" spans="1:3" ht="15.5" x14ac:dyDescent="0.35">
      <c r="A16" s="70">
        <v>6</v>
      </c>
      <c r="B16" s="70"/>
      <c r="C16" s="92"/>
    </row>
    <row r="17" spans="1:3" ht="15.5" x14ac:dyDescent="0.35">
      <c r="A17" s="70">
        <v>7</v>
      </c>
      <c r="B17" s="70"/>
      <c r="C17" s="92"/>
    </row>
    <row r="18" spans="1:3" ht="15.5" x14ac:dyDescent="0.35">
      <c r="A18" s="70">
        <v>8</v>
      </c>
      <c r="B18" s="70"/>
      <c r="C18" s="92"/>
    </row>
    <row r="19" spans="1:3" ht="15.5" x14ac:dyDescent="0.35">
      <c r="A19" s="70">
        <v>9</v>
      </c>
      <c r="B19" s="70"/>
      <c r="C19" s="92"/>
    </row>
    <row r="20" spans="1:3" ht="15.5" x14ac:dyDescent="0.35">
      <c r="A20" s="70">
        <v>10</v>
      </c>
      <c r="B20" s="70"/>
      <c r="C20" s="92"/>
    </row>
    <row r="21" spans="1:3" ht="15.5" x14ac:dyDescent="0.35">
      <c r="A21" s="70">
        <v>11</v>
      </c>
      <c r="B21" s="70"/>
      <c r="C21" s="92"/>
    </row>
    <row r="22" spans="1:3" ht="15.5" x14ac:dyDescent="0.35">
      <c r="A22" s="70">
        <v>12</v>
      </c>
      <c r="B22" s="70"/>
      <c r="C22" s="92"/>
    </row>
    <row r="23" spans="1:3" ht="15.5" x14ac:dyDescent="0.35">
      <c r="A23" s="70">
        <v>13</v>
      </c>
      <c r="B23" s="70"/>
      <c r="C23" s="92"/>
    </row>
    <row r="24" spans="1:3" ht="15.5" x14ac:dyDescent="0.35">
      <c r="A24" s="70">
        <v>14</v>
      </c>
      <c r="B24" s="70"/>
      <c r="C24" s="92"/>
    </row>
    <row r="25" spans="1:3" ht="15.5" x14ac:dyDescent="0.35">
      <c r="A25" s="70">
        <v>15</v>
      </c>
      <c r="B25" s="70"/>
      <c r="C25" s="92"/>
    </row>
    <row r="26" spans="1:3" ht="15.5" x14ac:dyDescent="0.35">
      <c r="A26" s="70">
        <v>16</v>
      </c>
      <c r="B26" s="70"/>
      <c r="C26" s="92"/>
    </row>
    <row r="27" spans="1:3" ht="15.5" x14ac:dyDescent="0.35">
      <c r="A27" s="70">
        <v>17</v>
      </c>
      <c r="B27" s="70"/>
      <c r="C27" s="92"/>
    </row>
    <row r="28" spans="1:3" ht="15.5" x14ac:dyDescent="0.35">
      <c r="A28" s="70">
        <v>18</v>
      </c>
      <c r="B28" s="70"/>
      <c r="C28" s="92"/>
    </row>
    <row r="29" spans="1:3" ht="15.5" x14ac:dyDescent="0.35">
      <c r="A29" s="70">
        <v>19</v>
      </c>
      <c r="B29" s="70"/>
      <c r="C29" s="92"/>
    </row>
    <row r="30" spans="1:3" ht="15.5" x14ac:dyDescent="0.35">
      <c r="A30" s="70">
        <v>20</v>
      </c>
      <c r="B30" s="70"/>
      <c r="C30" s="92"/>
    </row>
    <row r="31" spans="1:3" ht="15.5" x14ac:dyDescent="0.35">
      <c r="A31" s="70">
        <v>21</v>
      </c>
      <c r="B31" s="70"/>
      <c r="C31" s="92"/>
    </row>
    <row r="32" spans="1:3" ht="15.5" x14ac:dyDescent="0.35">
      <c r="A32" s="70">
        <v>22</v>
      </c>
      <c r="B32" s="70"/>
      <c r="C32" s="92"/>
    </row>
    <row r="33" spans="1:3" ht="15.5" x14ac:dyDescent="0.35">
      <c r="A33" s="70">
        <v>23</v>
      </c>
      <c r="B33" s="70"/>
      <c r="C33" s="92"/>
    </row>
    <row r="34" spans="1:3" ht="15.5" x14ac:dyDescent="0.35">
      <c r="A34" s="70">
        <v>24</v>
      </c>
      <c r="B34" s="70"/>
      <c r="C34" s="92"/>
    </row>
    <row r="35" spans="1:3" ht="15.5" x14ac:dyDescent="0.35">
      <c r="A35" s="70">
        <v>25</v>
      </c>
      <c r="B35" s="70"/>
      <c r="C35" s="92"/>
    </row>
    <row r="36" spans="1:3" ht="15.5" x14ac:dyDescent="0.35">
      <c r="A36" s="70">
        <v>26</v>
      </c>
      <c r="B36" s="70"/>
      <c r="C36" s="92"/>
    </row>
    <row r="37" spans="1:3" ht="15.5" x14ac:dyDescent="0.35">
      <c r="A37" s="70">
        <v>27</v>
      </c>
      <c r="B37" s="70"/>
      <c r="C37" s="92"/>
    </row>
    <row r="38" spans="1:3" ht="15.5" x14ac:dyDescent="0.35">
      <c r="A38" s="70">
        <v>28</v>
      </c>
      <c r="B38" s="70"/>
      <c r="C38" s="92"/>
    </row>
    <row r="39" spans="1:3" ht="15.5" x14ac:dyDescent="0.35">
      <c r="A39" s="70">
        <v>29</v>
      </c>
      <c r="B39" s="70"/>
      <c r="C39" s="92"/>
    </row>
    <row r="40" spans="1:3" ht="15.5" x14ac:dyDescent="0.35">
      <c r="A40" s="70">
        <v>30</v>
      </c>
      <c r="B40" s="70"/>
      <c r="C40" s="92"/>
    </row>
  </sheetData>
  <mergeCells count="2">
    <mergeCell ref="A7:C7"/>
    <mergeCell ref="B8:C8"/>
  </mergeCells>
  <hyperlinks>
    <hyperlink ref="A1" location="'1. TOC &amp; Instructions'!A1" display="Link: TOC &amp; Instructions" xr:uid="{E45E75EB-9164-4C74-8E1F-9B10C3F285C5}"/>
  </hyperlinks>
  <pageMargins left="0.25" right="0.25" top="0.75" bottom="0.75" header="0.3" footer="0.3"/>
  <pageSetup scale="86" fitToHeight="0" orientation="landscape" r:id="rId1"/>
  <headerFooter>
    <oddHeader>&amp;C&amp;A</oddHeader>
    <oddFooter>&amp;C&amp;P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CDEF-447A-431E-9538-0E4595973C6D}">
  <sheetPr>
    <pageSetUpPr fitToPage="1"/>
  </sheetPr>
  <dimension ref="A1:G41"/>
  <sheetViews>
    <sheetView showGridLines="0" topLeftCell="A8" zoomScale="90" zoomScaleNormal="90" workbookViewId="0">
      <selection activeCell="F12" sqref="F12:G12"/>
    </sheetView>
  </sheetViews>
  <sheetFormatPr defaultColWidth="9.1796875" defaultRowHeight="14" x14ac:dyDescent="0.3"/>
  <cols>
    <col min="1" max="1" width="10.81640625" style="6" customWidth="1"/>
    <col min="2" max="2" width="16" style="6" customWidth="1"/>
    <col min="3" max="3" width="33.26953125" style="6" customWidth="1"/>
    <col min="4" max="4" width="21.81640625" style="6" customWidth="1"/>
    <col min="5" max="5" width="21" style="6" customWidth="1"/>
    <col min="6" max="6" width="30.54296875" style="36" customWidth="1"/>
    <col min="7" max="7" width="25" style="6" customWidth="1"/>
    <col min="8" max="16384" width="9.1796875" style="6"/>
  </cols>
  <sheetData>
    <row r="1" spans="1:7" s="20" customFormat="1" ht="27.65" customHeight="1" x14ac:dyDescent="0.4">
      <c r="A1" s="15" t="s">
        <v>48</v>
      </c>
      <c r="B1" s="15"/>
      <c r="C1" s="27"/>
      <c r="D1" s="16" t="str">
        <f>'0. Cover Sheet'!B5</f>
        <v>EXHIBIT J.6 - Cost Workbook</v>
      </c>
      <c r="F1" s="16"/>
      <c r="G1" s="16"/>
    </row>
    <row r="2" spans="1:7" s="20" customFormat="1" ht="15" customHeight="1" x14ac:dyDescent="0.4">
      <c r="A2" s="28"/>
      <c r="B2" s="28"/>
      <c r="C2" s="28"/>
      <c r="E2" s="18"/>
      <c r="F2" s="16"/>
      <c r="G2" s="16"/>
    </row>
    <row r="3" spans="1:7" s="20" customFormat="1" ht="17.5" customHeight="1" x14ac:dyDescent="0.3">
      <c r="A3" s="37" t="s">
        <v>1</v>
      </c>
      <c r="B3" s="37"/>
      <c r="C3" s="37"/>
      <c r="D3" s="37" t="str">
        <f>'0. Cover Sheet'!B7</f>
        <v>696-IT-25-O053</v>
      </c>
      <c r="F3" s="40"/>
    </row>
    <row r="4" spans="1:7" s="20" customFormat="1" ht="15" customHeight="1" x14ac:dyDescent="0.3">
      <c r="A4" s="37" t="s">
        <v>3</v>
      </c>
      <c r="B4" s="37"/>
      <c r="C4" s="37"/>
      <c r="D4" s="37" t="str">
        <f>'0. Cover Sheet'!B8</f>
        <v>Texas Department of Criminal Justice Corrections Information Technology System 2.0 (CITS 2.0)</v>
      </c>
      <c r="F4" s="40"/>
      <c r="G4" s="23"/>
    </row>
    <row r="5" spans="1:7" s="20" customFormat="1" ht="15" customHeight="1" x14ac:dyDescent="0.3">
      <c r="A5" s="37" t="s">
        <v>5</v>
      </c>
      <c r="B5" s="37"/>
      <c r="C5" s="37"/>
      <c r="D5" s="29" t="str">
        <f>'0. Cover Sheet'!B9</f>
        <v>Respondent Name</v>
      </c>
      <c r="F5" s="25"/>
      <c r="G5" s="41"/>
    </row>
    <row r="6" spans="1:7" ht="15" customHeight="1" x14ac:dyDescent="0.3">
      <c r="A6" s="88"/>
      <c r="B6" s="88"/>
      <c r="C6" s="88"/>
      <c r="D6" s="88"/>
      <c r="E6" s="42"/>
      <c r="F6" s="42"/>
      <c r="G6" s="25"/>
    </row>
    <row r="7" spans="1:7" ht="14.5" customHeight="1" x14ac:dyDescent="0.3">
      <c r="A7" s="120" t="s">
        <v>61</v>
      </c>
      <c r="B7" s="120"/>
      <c r="C7" s="120"/>
      <c r="D7" s="120"/>
      <c r="E7" s="120"/>
      <c r="F7" s="120"/>
      <c r="G7" s="120"/>
    </row>
    <row r="8" spans="1:7" ht="81.75" customHeight="1" x14ac:dyDescent="0.3">
      <c r="A8" s="43">
        <v>1</v>
      </c>
      <c r="B8" s="121" t="s">
        <v>191</v>
      </c>
      <c r="C8" s="122"/>
      <c r="D8" s="122"/>
      <c r="E8" s="122"/>
      <c r="F8" s="122"/>
      <c r="G8" s="123"/>
    </row>
    <row r="9" spans="1:7" ht="39.75" customHeight="1" x14ac:dyDescent="0.3">
      <c r="A9" s="43">
        <v>2</v>
      </c>
      <c r="B9" s="121" t="s">
        <v>192</v>
      </c>
      <c r="C9" s="122"/>
      <c r="D9" s="122"/>
      <c r="E9" s="122"/>
      <c r="F9" s="122"/>
      <c r="G9" s="123"/>
    </row>
    <row r="10" spans="1:7" ht="15" customHeight="1" x14ac:dyDescent="0.3">
      <c r="A10" s="67"/>
      <c r="B10" s="67"/>
      <c r="C10" s="68"/>
      <c r="D10" s="68"/>
      <c r="E10" s="68"/>
      <c r="F10" s="68"/>
      <c r="G10" s="68"/>
    </row>
    <row r="11" spans="1:7" ht="15" customHeight="1" x14ac:dyDescent="0.3">
      <c r="A11" s="90" t="s">
        <v>185</v>
      </c>
      <c r="B11" s="90" t="s">
        <v>193</v>
      </c>
      <c r="C11" s="136" t="s">
        <v>44</v>
      </c>
      <c r="D11" s="136"/>
      <c r="E11" s="136"/>
      <c r="F11" s="136" t="s">
        <v>194</v>
      </c>
      <c r="G11" s="136"/>
    </row>
    <row r="12" spans="1:7" ht="15.5" x14ac:dyDescent="0.35">
      <c r="A12" s="70">
        <v>1</v>
      </c>
      <c r="B12" s="70"/>
      <c r="C12" s="146"/>
      <c r="D12" s="147"/>
      <c r="E12" s="148"/>
      <c r="F12" s="146"/>
      <c r="G12" s="148"/>
    </row>
    <row r="13" spans="1:7" ht="15.5" x14ac:dyDescent="0.35">
      <c r="A13" s="70">
        <v>2</v>
      </c>
      <c r="B13" s="70"/>
      <c r="C13" s="146"/>
      <c r="D13" s="147"/>
      <c r="E13" s="148"/>
      <c r="F13" s="146"/>
      <c r="G13" s="148"/>
    </row>
    <row r="14" spans="1:7" ht="15.5" x14ac:dyDescent="0.35">
      <c r="A14" s="70">
        <v>3</v>
      </c>
      <c r="B14" s="70"/>
      <c r="C14" s="146"/>
      <c r="D14" s="147"/>
      <c r="E14" s="148"/>
      <c r="F14" s="146"/>
      <c r="G14" s="148"/>
    </row>
    <row r="15" spans="1:7" ht="15.5" x14ac:dyDescent="0.35">
      <c r="A15" s="70">
        <v>4</v>
      </c>
      <c r="B15" s="70"/>
      <c r="C15" s="146"/>
      <c r="D15" s="147"/>
      <c r="E15" s="148"/>
      <c r="F15" s="146"/>
      <c r="G15" s="148"/>
    </row>
    <row r="16" spans="1:7" ht="15.5" x14ac:dyDescent="0.35">
      <c r="A16" s="70">
        <v>5</v>
      </c>
      <c r="B16" s="70"/>
      <c r="C16" s="146"/>
      <c r="D16" s="147"/>
      <c r="E16" s="148"/>
      <c r="F16" s="146"/>
      <c r="G16" s="148"/>
    </row>
    <row r="17" spans="1:7" ht="15.5" x14ac:dyDescent="0.35">
      <c r="A17" s="70">
        <v>6</v>
      </c>
      <c r="B17" s="70"/>
      <c r="C17" s="146"/>
      <c r="D17" s="147"/>
      <c r="E17" s="148"/>
      <c r="F17" s="146"/>
      <c r="G17" s="148"/>
    </row>
    <row r="18" spans="1:7" ht="15.5" x14ac:dyDescent="0.35">
      <c r="A18" s="70">
        <v>7</v>
      </c>
      <c r="B18" s="70"/>
      <c r="C18" s="146"/>
      <c r="D18" s="147"/>
      <c r="E18" s="148"/>
      <c r="F18" s="146"/>
      <c r="G18" s="148"/>
    </row>
    <row r="19" spans="1:7" ht="15.5" x14ac:dyDescent="0.35">
      <c r="A19" s="70">
        <v>8</v>
      </c>
      <c r="B19" s="70"/>
      <c r="C19" s="146"/>
      <c r="D19" s="147"/>
      <c r="E19" s="148"/>
      <c r="F19" s="146"/>
      <c r="G19" s="148"/>
    </row>
    <row r="20" spans="1:7" ht="15.5" x14ac:dyDescent="0.35">
      <c r="A20" s="70">
        <v>9</v>
      </c>
      <c r="B20" s="70"/>
      <c r="C20" s="146"/>
      <c r="D20" s="147"/>
      <c r="E20" s="148"/>
      <c r="F20" s="146"/>
      <c r="G20" s="148"/>
    </row>
    <row r="21" spans="1:7" ht="15.5" x14ac:dyDescent="0.35">
      <c r="A21" s="70">
        <v>10</v>
      </c>
      <c r="B21" s="70"/>
      <c r="C21" s="146"/>
      <c r="D21" s="147"/>
      <c r="E21" s="148"/>
      <c r="F21" s="146"/>
      <c r="G21" s="148"/>
    </row>
    <row r="22" spans="1:7" ht="15.5" x14ac:dyDescent="0.35">
      <c r="A22" s="70">
        <v>11</v>
      </c>
      <c r="B22" s="70"/>
      <c r="C22" s="146"/>
      <c r="D22" s="147"/>
      <c r="E22" s="148"/>
      <c r="F22" s="146"/>
      <c r="G22" s="148"/>
    </row>
    <row r="23" spans="1:7" ht="15.5" x14ac:dyDescent="0.35">
      <c r="A23" s="70">
        <v>12</v>
      </c>
      <c r="B23" s="70"/>
      <c r="C23" s="146"/>
      <c r="D23" s="147"/>
      <c r="E23" s="148"/>
      <c r="F23" s="146"/>
      <c r="G23" s="148"/>
    </row>
    <row r="24" spans="1:7" ht="15.5" x14ac:dyDescent="0.35">
      <c r="A24" s="70">
        <v>13</v>
      </c>
      <c r="B24" s="70"/>
      <c r="C24" s="146"/>
      <c r="D24" s="147"/>
      <c r="E24" s="148"/>
      <c r="F24" s="146"/>
      <c r="G24" s="148"/>
    </row>
    <row r="25" spans="1:7" ht="15.5" x14ac:dyDescent="0.35">
      <c r="A25" s="70">
        <v>14</v>
      </c>
      <c r="B25" s="70"/>
      <c r="C25" s="146"/>
      <c r="D25" s="147"/>
      <c r="E25" s="148"/>
      <c r="F25" s="146"/>
      <c r="G25" s="148"/>
    </row>
    <row r="26" spans="1:7" ht="15.5" x14ac:dyDescent="0.35">
      <c r="A26" s="70">
        <v>15</v>
      </c>
      <c r="B26" s="70"/>
      <c r="C26" s="146"/>
      <c r="D26" s="147"/>
      <c r="E26" s="148"/>
      <c r="F26" s="146"/>
      <c r="G26" s="148"/>
    </row>
    <row r="27" spans="1:7" ht="15.5" x14ac:dyDescent="0.35">
      <c r="A27" s="70">
        <v>16</v>
      </c>
      <c r="B27" s="70"/>
      <c r="C27" s="146"/>
      <c r="D27" s="147"/>
      <c r="E27" s="148"/>
      <c r="F27" s="146"/>
      <c r="G27" s="148"/>
    </row>
    <row r="28" spans="1:7" ht="15.5" x14ac:dyDescent="0.35">
      <c r="A28" s="70">
        <v>17</v>
      </c>
      <c r="B28" s="70"/>
      <c r="C28" s="146"/>
      <c r="D28" s="147"/>
      <c r="E28" s="148"/>
      <c r="F28" s="146"/>
      <c r="G28" s="148"/>
    </row>
    <row r="29" spans="1:7" ht="15.5" x14ac:dyDescent="0.35">
      <c r="A29" s="70">
        <v>18</v>
      </c>
      <c r="B29" s="70"/>
      <c r="C29" s="146"/>
      <c r="D29" s="147"/>
      <c r="E29" s="148"/>
      <c r="F29" s="146"/>
      <c r="G29" s="148"/>
    </row>
    <row r="30" spans="1:7" ht="15.5" x14ac:dyDescent="0.35">
      <c r="A30" s="70">
        <v>19</v>
      </c>
      <c r="B30" s="70"/>
      <c r="C30" s="146"/>
      <c r="D30" s="147"/>
      <c r="E30" s="148"/>
      <c r="F30" s="146"/>
      <c r="G30" s="148"/>
    </row>
    <row r="31" spans="1:7" ht="15.5" x14ac:dyDescent="0.35">
      <c r="A31" s="70">
        <v>20</v>
      </c>
      <c r="B31" s="70"/>
      <c r="C31" s="146"/>
      <c r="D31" s="147"/>
      <c r="E31" s="148"/>
      <c r="F31" s="146"/>
      <c r="G31" s="148"/>
    </row>
    <row r="32" spans="1:7" ht="15.5" x14ac:dyDescent="0.35">
      <c r="A32" s="70">
        <v>21</v>
      </c>
      <c r="B32" s="70"/>
      <c r="C32" s="146"/>
      <c r="D32" s="147"/>
      <c r="E32" s="148"/>
      <c r="F32" s="146"/>
      <c r="G32" s="148"/>
    </row>
    <row r="33" spans="1:7" ht="15.5" x14ac:dyDescent="0.35">
      <c r="A33" s="70">
        <v>22</v>
      </c>
      <c r="B33" s="70"/>
      <c r="C33" s="146"/>
      <c r="D33" s="147"/>
      <c r="E33" s="148"/>
      <c r="F33" s="146"/>
      <c r="G33" s="148"/>
    </row>
    <row r="34" spans="1:7" ht="15.5" x14ac:dyDescent="0.35">
      <c r="A34" s="70">
        <v>23</v>
      </c>
      <c r="B34" s="70"/>
      <c r="C34" s="146"/>
      <c r="D34" s="147"/>
      <c r="E34" s="148"/>
      <c r="F34" s="146"/>
      <c r="G34" s="148"/>
    </row>
    <row r="35" spans="1:7" ht="15.5" x14ac:dyDescent="0.35">
      <c r="A35" s="70">
        <v>24</v>
      </c>
      <c r="B35" s="70"/>
      <c r="C35" s="146"/>
      <c r="D35" s="147"/>
      <c r="E35" s="148"/>
      <c r="F35" s="146"/>
      <c r="G35" s="148"/>
    </row>
    <row r="36" spans="1:7" ht="15.5" x14ac:dyDescent="0.35">
      <c r="A36" s="70">
        <v>25</v>
      </c>
      <c r="B36" s="70"/>
      <c r="C36" s="146"/>
      <c r="D36" s="147"/>
      <c r="E36" s="148"/>
      <c r="F36" s="146"/>
      <c r="G36" s="148"/>
    </row>
    <row r="37" spans="1:7" ht="15.5" x14ac:dyDescent="0.35">
      <c r="A37" s="70">
        <v>26</v>
      </c>
      <c r="B37" s="70"/>
      <c r="C37" s="146"/>
      <c r="D37" s="147"/>
      <c r="E37" s="148"/>
      <c r="F37" s="146"/>
      <c r="G37" s="148"/>
    </row>
    <row r="38" spans="1:7" ht="15.5" x14ac:dyDescent="0.35">
      <c r="A38" s="70">
        <v>27</v>
      </c>
      <c r="B38" s="70"/>
      <c r="C38" s="146"/>
      <c r="D38" s="147"/>
      <c r="E38" s="148"/>
      <c r="F38" s="146"/>
      <c r="G38" s="148"/>
    </row>
    <row r="39" spans="1:7" ht="15.5" x14ac:dyDescent="0.35">
      <c r="A39" s="70">
        <v>28</v>
      </c>
      <c r="B39" s="70"/>
      <c r="C39" s="146"/>
      <c r="D39" s="147"/>
      <c r="E39" s="148"/>
      <c r="F39" s="146"/>
      <c r="G39" s="148"/>
    </row>
    <row r="40" spans="1:7" ht="15.5" x14ac:dyDescent="0.35">
      <c r="A40" s="70">
        <v>29</v>
      </c>
      <c r="B40" s="70"/>
      <c r="C40" s="146"/>
      <c r="D40" s="147"/>
      <c r="E40" s="148"/>
      <c r="F40" s="146"/>
      <c r="G40" s="148"/>
    </row>
    <row r="41" spans="1:7" ht="15.5" x14ac:dyDescent="0.35">
      <c r="A41" s="70">
        <v>30</v>
      </c>
      <c r="B41" s="70"/>
      <c r="C41" s="146"/>
      <c r="D41" s="147"/>
      <c r="E41" s="148"/>
      <c r="F41" s="146"/>
      <c r="G41" s="148"/>
    </row>
  </sheetData>
  <mergeCells count="65">
    <mergeCell ref="A7:G7"/>
    <mergeCell ref="C17:E17"/>
    <mergeCell ref="C18:E18"/>
    <mergeCell ref="F12:G12"/>
    <mergeCell ref="F13:G13"/>
    <mergeCell ref="F14:G14"/>
    <mergeCell ref="F15:G15"/>
    <mergeCell ref="F16:G16"/>
    <mergeCell ref="C12:E12"/>
    <mergeCell ref="C13:E13"/>
    <mergeCell ref="C14:E14"/>
    <mergeCell ref="C15:E15"/>
    <mergeCell ref="C16:E16"/>
    <mergeCell ref="F22:G22"/>
    <mergeCell ref="F23:G23"/>
    <mergeCell ref="B8:G8"/>
    <mergeCell ref="B9:G9"/>
    <mergeCell ref="F17:G17"/>
    <mergeCell ref="F18:G18"/>
    <mergeCell ref="F19:G19"/>
    <mergeCell ref="F20:G20"/>
    <mergeCell ref="F21:G21"/>
    <mergeCell ref="C19:E19"/>
    <mergeCell ref="C20:E20"/>
    <mergeCell ref="C21:E21"/>
    <mergeCell ref="C22:E22"/>
    <mergeCell ref="C23:E23"/>
    <mergeCell ref="F11:G11"/>
    <mergeCell ref="C11:E11"/>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2:E32"/>
    <mergeCell ref="F32:G32"/>
    <mergeCell ref="C33:E33"/>
    <mergeCell ref="F33:G33"/>
    <mergeCell ref="C34:E34"/>
    <mergeCell ref="F34:G34"/>
    <mergeCell ref="C35:E35"/>
    <mergeCell ref="F35:G35"/>
    <mergeCell ref="C36:E36"/>
    <mergeCell ref="F36:G36"/>
    <mergeCell ref="C37:E37"/>
    <mergeCell ref="F37:G37"/>
    <mergeCell ref="C38:E38"/>
    <mergeCell ref="F38:G38"/>
    <mergeCell ref="C39:E39"/>
    <mergeCell ref="F39:G39"/>
    <mergeCell ref="C40:E40"/>
    <mergeCell ref="F40:G40"/>
    <mergeCell ref="C41:E41"/>
    <mergeCell ref="F41:G41"/>
  </mergeCells>
  <hyperlinks>
    <hyperlink ref="A1" location="'1. TOC &amp; Instructions'!A1" display="Link: TOC &amp; Instructions" xr:uid="{C09D2DD8-51FA-42EA-A6F6-B4B217FEC897}"/>
  </hyperlinks>
  <pageMargins left="0.25" right="0.25" top="0.75" bottom="0.75" header="0.3" footer="0.3"/>
  <pageSetup scale="86" fitToHeight="0" orientation="landscape" r:id="rId1"/>
  <headerFooter>
    <oddHeader>&amp;C&amp;A</oddHeader>
    <oddFooter>&amp;C&amp;P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2D6A74E-9661-4A3A-A631-DF727CADD5E1}">
          <x14:formula1>
            <xm:f>Sheet3!$A$1:$A$11</xm:f>
          </x14:formula1>
          <xm:sqref>B12:B41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109E8-873C-4EA6-A130-5DC62C6B62EA}">
  <dimension ref="A1:A11"/>
  <sheetViews>
    <sheetView workbookViewId="0">
      <selection activeCell="C10" sqref="C10"/>
    </sheetView>
  </sheetViews>
  <sheetFormatPr defaultRowHeight="12.5" x14ac:dyDescent="0.25"/>
  <sheetData>
    <row r="1" spans="1:1" ht="75" x14ac:dyDescent="0.25">
      <c r="A1" s="10" t="s">
        <v>74</v>
      </c>
    </row>
    <row r="2" spans="1:1" ht="62.5" x14ac:dyDescent="0.25">
      <c r="A2" s="10" t="s">
        <v>85</v>
      </c>
    </row>
    <row r="3" spans="1:1" ht="75" x14ac:dyDescent="0.25">
      <c r="A3" s="10" t="s">
        <v>88</v>
      </c>
    </row>
    <row r="4" spans="1:1" ht="50" x14ac:dyDescent="0.25">
      <c r="A4" s="10" t="s">
        <v>98</v>
      </c>
    </row>
    <row r="5" spans="1:1" ht="37.5" x14ac:dyDescent="0.25">
      <c r="A5" s="10" t="s">
        <v>103</v>
      </c>
    </row>
    <row r="6" spans="1:1" ht="37.5" x14ac:dyDescent="0.25">
      <c r="A6" s="10" t="s">
        <v>108</v>
      </c>
    </row>
    <row r="7" spans="1:1" ht="25" x14ac:dyDescent="0.25">
      <c r="A7" s="10" t="s">
        <v>116</v>
      </c>
    </row>
    <row r="8" spans="1:1" ht="75" x14ac:dyDescent="0.25">
      <c r="A8" s="10" t="s">
        <v>122</v>
      </c>
    </row>
    <row r="9" spans="1:1" ht="62.5" x14ac:dyDescent="0.25">
      <c r="A9" s="10" t="s">
        <v>132</v>
      </c>
    </row>
    <row r="10" spans="1:1" ht="62.5" x14ac:dyDescent="0.25">
      <c r="A10" s="10" t="s">
        <v>141</v>
      </c>
    </row>
    <row r="11" spans="1:1" ht="50" x14ac:dyDescent="0.25">
      <c r="A11" s="10"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ae6b54a-92ab-49ed-b9da-101c3511dc08" xsi:nil="true"/>
    <lcf76f155ced4ddcb4097134ff3c332f xmlns="8cbc2467-02bb-4dfd-a23f-fa75790ea26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755A8D2222F1949871BE9D5A7F697B5" ma:contentTypeVersion="17" ma:contentTypeDescription="Create a new document." ma:contentTypeScope="" ma:versionID="8ac74d971da174a3130b0062145b5611">
  <xsd:schema xmlns:xsd="http://www.w3.org/2001/XMLSchema" xmlns:xs="http://www.w3.org/2001/XMLSchema" xmlns:p="http://schemas.microsoft.com/office/2006/metadata/properties" xmlns:ns2="8cbc2467-02bb-4dfd-a23f-fa75790ea266" xmlns:ns3="2ae6b54a-92ab-49ed-b9da-101c3511dc08" targetNamespace="http://schemas.microsoft.com/office/2006/metadata/properties" ma:root="true" ma:fieldsID="0787221be6b39a288ff9502fc19d6ba8" ns2:_="" ns3:_="">
    <xsd:import namespace="8cbc2467-02bb-4dfd-a23f-fa75790ea266"/>
    <xsd:import namespace="2ae6b54a-92ab-49ed-b9da-101c3511dc0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bc2467-02bb-4dfd-a23f-fa75790ea2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af5e99b-f45a-473e-9035-af188538fb08"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e6b54a-92ab-49ed-b9da-101c3511dc08"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bf5f63c-c8a2-4373-8c2b-6966f83eafd8}" ma:internalName="TaxCatchAll" ma:showField="CatchAllData" ma:web="2ae6b54a-92ab-49ed-b9da-101c3511dc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3A69C6-8F68-4A73-BD67-310DDF15AB8E}">
  <ds:schemaRefs>
    <ds:schemaRef ds:uri="http://schemas.microsoft.com/sharepoint/v3/contenttype/forms"/>
  </ds:schemaRefs>
</ds:datastoreItem>
</file>

<file path=customXml/itemProps2.xml><?xml version="1.0" encoding="utf-8"?>
<ds:datastoreItem xmlns:ds="http://schemas.openxmlformats.org/officeDocument/2006/customXml" ds:itemID="{15917C7D-6B9A-49D8-9867-225B0C682A9B}">
  <ds:schemaRefs>
    <ds:schemaRef ds:uri="http://schemas.microsoft.com/office/infopath/2007/PartnerControls"/>
    <ds:schemaRef ds:uri="http://purl.org/dc/elements/1.1/"/>
    <ds:schemaRef ds:uri="http://schemas.microsoft.com/office/2006/metadata/properties"/>
    <ds:schemaRef ds:uri="28b1241e-7ecf-44b1-8a85-55bc56945327"/>
    <ds:schemaRef ds:uri="http://purl.org/dc/terms/"/>
    <ds:schemaRef ds:uri="http://schemas.microsoft.com/office/2006/documentManagement/types"/>
    <ds:schemaRef ds:uri="http://purl.org/dc/dcmitype/"/>
    <ds:schemaRef ds:uri="http://schemas.openxmlformats.org/package/2006/metadata/core-properties"/>
    <ds:schemaRef ds:uri="51883f03-4403-4067-a16a-bcb5df46d909"/>
    <ds:schemaRef ds:uri="http://www.w3.org/XML/1998/namespace"/>
  </ds:schemaRefs>
</ds:datastoreItem>
</file>

<file path=customXml/itemProps3.xml><?xml version="1.0" encoding="utf-8"?>
<ds:datastoreItem xmlns:ds="http://schemas.openxmlformats.org/officeDocument/2006/customXml" ds:itemID="{9D7C5233-EF45-4534-9667-B487B867EC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0. Cover Sheet</vt:lpstr>
      <vt:lpstr>1. TOC &amp; Instructions</vt:lpstr>
      <vt:lpstr>2. Total Price Summary</vt:lpstr>
      <vt:lpstr>3. Deliverables Costs</vt:lpstr>
      <vt:lpstr>4. License Subscription Costs</vt:lpstr>
      <vt:lpstr>5.  Maint. &amp; Operations Costs</vt:lpstr>
      <vt:lpstr>6. Infrastructure</vt:lpstr>
      <vt:lpstr>7. Optional Services</vt:lpstr>
      <vt:lpstr>8. Rate Sheet</vt:lpstr>
      <vt:lpstr>9. Assumptions</vt:lpstr>
      <vt:lpstr>Sheet3</vt:lpstr>
      <vt:lpstr>'0. Cover Sheet'!Print_Area</vt:lpstr>
      <vt:lpstr>'1. TOC &amp; Instructions'!Print_Area</vt:lpstr>
      <vt:lpstr>'2. Total Price Summary'!Print_Area</vt:lpstr>
      <vt:lpstr>'3. Deliverables Costs'!Print_Area</vt:lpstr>
      <vt:lpstr>'4. License Subscription Costs'!Print_Area</vt:lpstr>
      <vt:lpstr>'5.  Maint. &amp; Operations Costs'!Print_Area</vt:lpstr>
      <vt:lpstr>'6. Infrastructure'!Print_Area</vt:lpstr>
      <vt:lpstr>'7. Optional Services'!Print_Area</vt:lpstr>
      <vt:lpstr>'8. Rate Sheet'!Print_Area</vt:lpstr>
      <vt:lpstr>'9. Assumptions'!Print_Area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2023-01-20T20:35:28Z</dcterms:created>
  <dcterms:modified xsi:type="dcterms:W3CDTF">2025-10-16T20:02:39Z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0x010100F755A8D2222F1949871BE9D5A7F697B5</vt:lpwstr>
  </property>
</Properties>
</file>